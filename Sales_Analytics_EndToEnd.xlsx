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436\Downloads\"/>
    </mc:Choice>
  </mc:AlternateContent>
  <xr:revisionPtr revIDLastSave="0" documentId="8_{D2B88A56-E59B-4546-9802-8DB0CA7BE7F1}" xr6:coauthVersionLast="47" xr6:coauthVersionMax="47" xr10:uidLastSave="{00000000-0000-0000-0000-000000000000}"/>
  <bookViews>
    <workbookView xWindow="-110" yWindow="-110" windowWidth="19420" windowHeight="10300" activeTab="4" xr2:uid="{5A10986D-0386-496E-8428-C65614EC314A}"/>
  </bookViews>
  <sheets>
    <sheet name="Revenue por producto" sheetId="2" r:id="rId1"/>
    <sheet name="Revenue por mes y año" sheetId="5" r:id="rId2"/>
    <sheet name="Revenue por sector" sheetId="3" r:id="rId3"/>
    <sheet name="Performance por vendedor" sheetId="4" r:id="rId4"/>
    <sheet name="Deal size vs win rate" sheetId="6" r:id="rId5"/>
  </sheets>
  <calcPr calcId="191029"/>
  <pivotCaches>
    <pivotCache cacheId="57" r:id="rId6"/>
    <pivotCache cacheId="60" r:id="rId7"/>
    <pivotCache cacheId="63" r:id="rId8"/>
    <pivotCache cacheId="66" r:id="rId9"/>
    <pivotCache cacheId="80" r:id="rId10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sales_pipeline_9e3a2754-4322-4be6-bdcb-45293ba6cd58" name="Fact_sales_pipeline" connection="Consulta - Fact_sales_pipeline"/>
          <x15:modelTable id="Dim_sales_agent_437010d8-15a8-4d07-942e-38d526223c76" name="Dim_sales_agent" connection="Consulta - Dim_sales_agent"/>
          <x15:modelTable id="Dim_products_56cd1650-49ce-4dda-be1e-b41e4e507ae6" name="Dim_products" connection="Consulta - Dim_products"/>
          <x15:modelTable id="Dim_accounts_482b02c3-9dc0-4b75-8ae3-2fd88d65cbec" name="Dim_accounts" connection="Consulta - Dim_accounts"/>
          <x15:modelTable id="Dim_dates_8c5bf8a6-f0c9-4644-81cd-08eb2cd91b97" name="Dim_dates" connection="Consulta - Dim_dates"/>
        </x15:modelTables>
        <x15:modelRelationships>
          <x15:modelRelationship fromTable="Fact_sales_pipeline" fromColumn="sales_agent (NK)" toTable="Dim_sales_agent" toColumn="sales_agent (PK)"/>
          <x15:modelRelationship fromTable="Fact_sales_pipeline" fromColumn="product (NK)" toTable="Dim_products" toColumn="product (PK)"/>
          <x15:modelRelationship fromTable="Fact_sales_pipeline" fromColumn="account (NK)" toTable="Dim_accounts" toColumn="account (PK)"/>
          <x15:modelRelationship fromTable="Fact_sales_pipeline" fromColumn="close_date (NK)" toTable="Dim_dates" toColumn="date (PK)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420F27-3EA0-4A82-8D54-C126D121F0BA}" name="Consulta - Dim_accounts" description="Conexión a la consulta 'Dim_accounts' en el libro." type="100" refreshedVersion="7" minRefreshableVersion="5">
    <extLst>
      <ext xmlns:x15="http://schemas.microsoft.com/office/spreadsheetml/2010/11/main" uri="{DE250136-89BD-433C-8126-D09CA5730AF9}">
        <x15:connection id="644f1a13-726f-4229-8e1a-e9f973832c6d">
          <x15:oledbPr connection="Provider=Microsoft.Mashup.OleDb.1;Data Source=$Workbook$;Location=Dim_accounts;Extended Properties=&quot;&quot;">
            <x15:dbTables>
              <x15:dbTable name="Dim_accounts"/>
            </x15:dbTables>
          </x15:oledbPr>
        </x15:connection>
      </ext>
    </extLst>
  </connection>
  <connection id="2" xr16:uid="{6F0469AA-592D-4EF8-BBBF-F14BC787D70A}" keepAlive="1" name="Consulta - Dim_data_dictionary" description="Conexión a la consulta 'Dim_data_dictionary' en el libro." type="5" refreshedVersion="0" background="1">
    <dbPr connection="Provider=Microsoft.Mashup.OleDb.1;Data Source=$Workbook$;Location=Dim_data_dictionary;Extended Properties=&quot;&quot;" command="SELECT * FROM [Dim_data_dictionary]"/>
  </connection>
  <connection id="3" xr16:uid="{B5F6C377-065B-490E-959D-40BDA1443743}" name="Consulta - Dim_dates" description="Conexión a la consulta 'Dim_dates' en el libro." type="100" refreshedVersion="7" minRefreshableVersion="5">
    <extLst>
      <ext xmlns:x15="http://schemas.microsoft.com/office/spreadsheetml/2010/11/main" uri="{DE250136-89BD-433C-8126-D09CA5730AF9}">
        <x15:connection id="967054c1-5036-4c5e-91d9-f0f86dc45bd5">
          <x15:oledbPr connection="Provider=Microsoft.Mashup.OleDb.1;Data Source=$Workbook$;Location=Dim_dates;Extended Properties=&quot;&quot;">
            <x15:dbTables>
              <x15:dbTable name="Dim_dates"/>
            </x15:dbTables>
          </x15:oledbPr>
        </x15:connection>
      </ext>
    </extLst>
  </connection>
  <connection id="4" xr16:uid="{20C27DF9-5C6D-4E36-8279-32BAA3AA32E5}" name="Consulta - Dim_products" description="Conexión a la consulta 'Dim_products' en el libro." type="100" refreshedVersion="7" minRefreshableVersion="5">
    <extLst>
      <ext xmlns:x15="http://schemas.microsoft.com/office/spreadsheetml/2010/11/main" uri="{DE250136-89BD-433C-8126-D09CA5730AF9}">
        <x15:connection id="8536cea9-5df9-4ac0-899b-4db23980dea8">
          <x15:oledbPr connection="Provider=Microsoft.Mashup.OleDb.1;Data Source=$Workbook$;Location=Dim_products;Extended Properties=&quot;&quot;">
            <x15:dbTables>
              <x15:dbTable name="Dim_products"/>
            </x15:dbTables>
          </x15:oledbPr>
        </x15:connection>
      </ext>
    </extLst>
  </connection>
  <connection id="5" xr16:uid="{1C6C2CE4-FF61-4F74-BAF1-B1895E9034AD}" name="Consulta - Dim_sales_agent" description="Conexión a la consulta 'Dim_sales_agent' en el libro." type="100" refreshedVersion="7" minRefreshableVersion="5">
    <extLst>
      <ext xmlns:x15="http://schemas.microsoft.com/office/spreadsheetml/2010/11/main" uri="{DE250136-89BD-433C-8126-D09CA5730AF9}">
        <x15:connection id="0f6e9481-65a7-4b89-9adf-d58b726f710b">
          <x15:oledbPr connection="Provider=Microsoft.Mashup.OleDb.1;Data Source=$Workbook$;Location=Dim_sales_agent;Extended Properties=&quot;&quot;">
            <x15:dbTables>
              <x15:dbTable name="Dim_sales_agent"/>
            </x15:dbTables>
          </x15:oledbPr>
        </x15:connection>
      </ext>
    </extLst>
  </connection>
  <connection id="6" xr16:uid="{70F865FF-35FD-4062-8701-2FFD2D1C0F4E}" name="Consulta - Fact_sales_pipeline" description="Conexión a la consulta 'Fact_sales_pipeline' en el libro." type="100" refreshedVersion="7" minRefreshableVersion="5">
    <extLst>
      <ext xmlns:x15="http://schemas.microsoft.com/office/spreadsheetml/2010/11/main" uri="{DE250136-89BD-433C-8126-D09CA5730AF9}">
        <x15:connection id="44eaa1de-d327-4de3-bf7d-9d0c0ab993fd"/>
      </ext>
    </extLst>
  </connection>
  <connection id="7" xr16:uid="{99998414-EF44-4C15-ADCA-4D079BFD9AB1}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<sst xmlns="http://schemas.openxmlformats.org/spreadsheetml/2006/main" count="78" uniqueCount="70">
  <si>
    <t>GTK 500</t>
  </si>
  <si>
    <t>GTX Basic</t>
  </si>
  <si>
    <t>GTX Plus Basic</t>
  </si>
  <si>
    <t>GTX Plus Pro</t>
  </si>
  <si>
    <t>MG Advanced</t>
  </si>
  <si>
    <t>MG Special</t>
  </si>
  <si>
    <t>Total general</t>
  </si>
  <si>
    <t>Total Revenue</t>
  </si>
  <si>
    <t>Revenue Por Producto</t>
  </si>
  <si>
    <t>employment</t>
  </si>
  <si>
    <t>entertainment</t>
  </si>
  <si>
    <t>finance</t>
  </si>
  <si>
    <t>marketing</t>
  </si>
  <si>
    <t>medical</t>
  </si>
  <si>
    <t>retail</t>
  </si>
  <si>
    <t>services</t>
  </si>
  <si>
    <t>software</t>
  </si>
  <si>
    <t>technolgy</t>
  </si>
  <si>
    <t>telecommunications</t>
  </si>
  <si>
    <t>Revenue Por Sector</t>
  </si>
  <si>
    <t>Anna Snelling</t>
  </si>
  <si>
    <t>Boris Faz</t>
  </si>
  <si>
    <t>Cassey Cress</t>
  </si>
  <si>
    <t>Cecily Lampkin</t>
  </si>
  <si>
    <t>Corliss Cosme</t>
  </si>
  <si>
    <t>Daniell Hammack</t>
  </si>
  <si>
    <t>Darcel Schlecht</t>
  </si>
  <si>
    <t>Donn Cantrell</t>
  </si>
  <si>
    <t>Elease Gluck</t>
  </si>
  <si>
    <t>Garret Kinder</t>
  </si>
  <si>
    <t>Gladys Colclough</t>
  </si>
  <si>
    <t>Hayden Neloms</t>
  </si>
  <si>
    <t>James Ascencio</t>
  </si>
  <si>
    <t>Jonathan Berthelot</t>
  </si>
  <si>
    <t>Kami Bicknell</t>
  </si>
  <si>
    <t>Kary Hendrixson</t>
  </si>
  <si>
    <t>Lajuana Vencill</t>
  </si>
  <si>
    <t>Markita Hansen</t>
  </si>
  <si>
    <t>Marty Freudenburg</t>
  </si>
  <si>
    <t>Maureen Marcano</t>
  </si>
  <si>
    <t>Moses Frase</t>
  </si>
  <si>
    <t>Niesha Huffines</t>
  </si>
  <si>
    <t>Reed Clapper</t>
  </si>
  <si>
    <t>Rosalina Dieter</t>
  </si>
  <si>
    <t>Rosie Papadopoulos</t>
  </si>
  <si>
    <t>Versie Hillebrand</t>
  </si>
  <si>
    <t>Vicki Laflamme</t>
  </si>
  <si>
    <t>Violet Mclelland</t>
  </si>
  <si>
    <t>Wilburn Farren</t>
  </si>
  <si>
    <t>Zane Levy</t>
  </si>
  <si>
    <t>Won Deals</t>
  </si>
  <si>
    <t>Win Rate</t>
  </si>
  <si>
    <t>April</t>
  </si>
  <si>
    <t>August</t>
  </si>
  <si>
    <t>December</t>
  </si>
  <si>
    <t>July</t>
  </si>
  <si>
    <t>June</t>
  </si>
  <si>
    <t>March</t>
  </si>
  <si>
    <t>May</t>
  </si>
  <si>
    <t>November</t>
  </si>
  <si>
    <t>October</t>
  </si>
  <si>
    <t>September</t>
  </si>
  <si>
    <t>GTX Pro</t>
  </si>
  <si>
    <t>Revenue por mes y año</t>
  </si>
  <si>
    <t>Performance por vendedor</t>
  </si>
  <si>
    <t>Large</t>
  </si>
  <si>
    <t>Small</t>
  </si>
  <si>
    <t>Unknown</t>
  </si>
  <si>
    <t>Total Deals</t>
  </si>
  <si>
    <t>Deal size vs win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</si>
</sst>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  <xf numFmtId="2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9" Type="http://schemas.openxmlformats.org/officeDocument/2006/relationships/customXml" Target="../customXml/item24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41" Type="http://schemas.openxmlformats.org/officeDocument/2006/relationships/customXml" Target="../customXml/item2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40" Type="http://schemas.openxmlformats.org/officeDocument/2006/relationships/customXml" Target="../customXml/item25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38" Type="http://schemas.openxmlformats.org/officeDocument/2006/relationships/customXml" Target="../customXml/item2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[Sales_Analytics_EndToEnd.xlsx]Revenue por producto!TablaDinámica1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por producto'!$B$1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por producto'!$A$2:$A$9</c:f>
              <c:strCache>
                <c:ptCount val="7"/>
                <c:pt idx="0">
                  <c:v>MG Special</c:v>
                </c:pt>
                <c:pt idx="1">
                  <c:v>MG Advanced</c:v>
                </c:pt>
                <c:pt idx="2">
                  <c:v>GTX Pro</c:v>
                </c:pt>
                <c:pt idx="3">
                  <c:v>GTX Plus Pro</c:v>
                </c:pt>
                <c:pt idx="4">
                  <c:v>GTX Plus Basic</c:v>
                </c:pt>
                <c:pt idx="5">
                  <c:v>GTX Basic</c:v>
                </c:pt>
                <c:pt idx="6">
                  <c:v>GTK 500</c:v>
                </c:pt>
              </c:strCache>
            </c:strRef>
          </c:cat>
          <c:val>
            <c:numRef>
              <c:f>'Revenue por producto'!$B$2:$B$9</c:f>
              <c:numCache>
                <c:formatCode>"$"#,##0.00</c:formatCode>
                <c:ptCount val="7"/>
                <c:pt idx="0">
                  <c:v>43768</c:v>
                </c:pt>
                <c:pt idx="1">
                  <c:v>2216387</c:v>
                </c:pt>
                <c:pt idx="2">
                  <c:v>3510578</c:v>
                </c:pt>
                <c:pt idx="3">
                  <c:v>2629651</c:v>
                </c:pt>
                <c:pt idx="4">
                  <c:v>705275</c:v>
                </c:pt>
                <c:pt idx="5">
                  <c:v>499263</c:v>
                </c:pt>
                <c:pt idx="6">
                  <c:v>400612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5-4B45-A418-A98C6A464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6362640"/>
        <c:axId val="486363888"/>
      </c:barChart>
      <c:catAx>
        <c:axId val="48636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363888"/>
        <c:crosses val="autoZero"/>
        <c:auto val="1"/>
        <c:lblAlgn val="ctr"/>
        <c:lblOffset val="100"/>
        <c:noMultiLvlLbl val="0"/>
      </c:catAx>
      <c:valAx>
        <c:axId val="48636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36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[Sales_Analytics_EndToEnd.xlsx]Revenue por mes y año!TablaDinámica3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por mes y año'!$B$1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'Revenue por mes y año'!$A$2:$A$13</c:f>
              <c:multiLvlStrCache>
                <c:ptCount val="10"/>
                <c:lvl>
                  <c:pt idx="0">
                    <c:v>April</c:v>
                  </c:pt>
                  <c:pt idx="1">
                    <c:v>August</c:v>
                  </c:pt>
                  <c:pt idx="2">
                    <c:v>December</c:v>
                  </c:pt>
                  <c:pt idx="3">
                    <c:v>July</c:v>
                  </c:pt>
                  <c:pt idx="4">
                    <c:v>June</c:v>
                  </c:pt>
                  <c:pt idx="5">
                    <c:v>March</c:v>
                  </c:pt>
                  <c:pt idx="6">
                    <c:v>May</c:v>
                  </c:pt>
                  <c:pt idx="7">
                    <c:v>November</c:v>
                  </c:pt>
                  <c:pt idx="8">
                    <c:v>October</c:v>
                  </c:pt>
                  <c:pt idx="9">
                    <c:v>September</c:v>
                  </c:pt>
                </c:lvl>
                <c:lvl>
                  <c:pt idx="0">
                    <c:v>2017</c:v>
                  </c:pt>
                </c:lvl>
              </c:multiLvlStrCache>
            </c:multiLvlStrRef>
          </c:cat>
          <c:val>
            <c:numRef>
              <c:f>'Revenue por mes y año'!$B$2:$B$13</c:f>
              <c:numCache>
                <c:formatCode>"$"#,##0.00</c:formatCode>
                <c:ptCount val="10"/>
                <c:pt idx="0">
                  <c:v>721932</c:v>
                </c:pt>
                <c:pt idx="1">
                  <c:v>1050059</c:v>
                </c:pt>
                <c:pt idx="2">
                  <c:v>1131573</c:v>
                </c:pt>
                <c:pt idx="3">
                  <c:v>696932</c:v>
                </c:pt>
                <c:pt idx="4">
                  <c:v>1338466</c:v>
                </c:pt>
                <c:pt idx="5">
                  <c:v>1134672</c:v>
                </c:pt>
                <c:pt idx="6">
                  <c:v>1025713</c:v>
                </c:pt>
                <c:pt idx="7">
                  <c:v>938943</c:v>
                </c:pt>
                <c:pt idx="8">
                  <c:v>731980</c:v>
                </c:pt>
                <c:pt idx="9">
                  <c:v>1235264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25-4652-A9EF-D502A0513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381360"/>
        <c:axId val="486382192"/>
      </c:lineChart>
      <c:catAx>
        <c:axId val="48638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382192"/>
        <c:crosses val="autoZero"/>
        <c:auto val="1"/>
        <c:lblAlgn val="ctr"/>
        <c:lblOffset val="100"/>
        <c:noMultiLvlLbl val="0"/>
      </c:catAx>
      <c:valAx>
        <c:axId val="48638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38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[Sales_Analytics_EndToEnd.xlsx]Revenue por sector!TablaDinámica1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por sector'!$B$1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por sector'!$A$2:$A$12</c:f>
              <c:strCache>
                <c:ptCount val="10"/>
                <c:pt idx="0">
                  <c:v>employment</c:v>
                </c:pt>
                <c:pt idx="1">
                  <c:v>entertainment</c:v>
                </c:pt>
                <c:pt idx="2">
                  <c:v>finance</c:v>
                </c:pt>
                <c:pt idx="3">
                  <c:v>marketing</c:v>
                </c:pt>
                <c:pt idx="4">
                  <c:v>medical</c:v>
                </c:pt>
                <c:pt idx="5">
                  <c:v>retail</c:v>
                </c:pt>
                <c:pt idx="6">
                  <c:v>services</c:v>
                </c:pt>
                <c:pt idx="7">
                  <c:v>software</c:v>
                </c:pt>
                <c:pt idx="8">
                  <c:v>technolgy</c:v>
                </c:pt>
                <c:pt idx="9">
                  <c:v>telecommunications</c:v>
                </c:pt>
              </c:strCache>
            </c:strRef>
          </c:cat>
          <c:val>
            <c:numRef>
              <c:f>'Revenue por sector'!$B$2:$B$12</c:f>
              <c:numCache>
                <c:formatCode>"$"#,##0.00</c:formatCode>
                <c:ptCount val="10"/>
                <c:pt idx="0">
                  <c:v>436174</c:v>
                </c:pt>
                <c:pt idx="1">
                  <c:v>689007</c:v>
                </c:pt>
                <c:pt idx="2">
                  <c:v>950908</c:v>
                </c:pt>
                <c:pt idx="3">
                  <c:v>922321</c:v>
                </c:pt>
                <c:pt idx="4">
                  <c:v>1359595</c:v>
                </c:pt>
                <c:pt idx="5">
                  <c:v>1867528</c:v>
                </c:pt>
                <c:pt idx="6">
                  <c:v>533006</c:v>
                </c:pt>
                <c:pt idx="7">
                  <c:v>1077934</c:v>
                </c:pt>
                <c:pt idx="8">
                  <c:v>1515487</c:v>
                </c:pt>
                <c:pt idx="9">
                  <c:v>653574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75-4A2E-8B7A-2F55031F6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4912767"/>
        <c:axId val="1054914015"/>
      </c:barChart>
      <c:catAx>
        <c:axId val="105491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914015"/>
        <c:crosses val="autoZero"/>
        <c:auto val="1"/>
        <c:lblAlgn val="ctr"/>
        <c:lblOffset val="100"/>
        <c:noMultiLvlLbl val="0"/>
      </c:catAx>
      <c:valAx>
        <c:axId val="105491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91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[Sales_Analytics_EndToEnd.xlsx]Performance por vendedor!TablaDinámica2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'Performance por vendedor'!$B$1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'Performance por vendedor'!$A$2:$A$32</c:f>
              <c:strCache>
                <c:ptCount val="30"/>
                <c:pt idx="0">
                  <c:v>Anna Snelling</c:v>
                </c:pt>
                <c:pt idx="1">
                  <c:v>Boris Faz</c:v>
                </c:pt>
                <c:pt idx="2">
                  <c:v>Cassey Cress</c:v>
                </c:pt>
                <c:pt idx="3">
                  <c:v>Cecily Lampkin</c:v>
                </c:pt>
                <c:pt idx="4">
                  <c:v>Corliss Cosme</c:v>
                </c:pt>
                <c:pt idx="5">
                  <c:v>Daniell Hammack</c:v>
                </c:pt>
                <c:pt idx="6">
                  <c:v>Darcel Schlecht</c:v>
                </c:pt>
                <c:pt idx="7">
                  <c:v>Donn Cantrell</c:v>
                </c:pt>
                <c:pt idx="8">
                  <c:v>Elease Gluck</c:v>
                </c:pt>
                <c:pt idx="9">
                  <c:v>Garret Kinder</c:v>
                </c:pt>
                <c:pt idx="10">
                  <c:v>Gladys Colclough</c:v>
                </c:pt>
                <c:pt idx="11">
                  <c:v>Hayden Neloms</c:v>
                </c:pt>
                <c:pt idx="12">
                  <c:v>James Ascencio</c:v>
                </c:pt>
                <c:pt idx="13">
                  <c:v>Jonathan Berthelot</c:v>
                </c:pt>
                <c:pt idx="14">
                  <c:v>Kami Bicknell</c:v>
                </c:pt>
                <c:pt idx="15">
                  <c:v>Kary Hendrixson</c:v>
                </c:pt>
                <c:pt idx="16">
                  <c:v>Lajuana Vencill</c:v>
                </c:pt>
                <c:pt idx="17">
                  <c:v>Markita Hansen</c:v>
                </c:pt>
                <c:pt idx="18">
                  <c:v>Marty Freudenburg</c:v>
                </c:pt>
                <c:pt idx="19">
                  <c:v>Maureen Marcano</c:v>
                </c:pt>
                <c:pt idx="20">
                  <c:v>Moses Frase</c:v>
                </c:pt>
                <c:pt idx="21">
                  <c:v>Niesha Huffines</c:v>
                </c:pt>
                <c:pt idx="22">
                  <c:v>Reed Clapper</c:v>
                </c:pt>
                <c:pt idx="23">
                  <c:v>Rosalina Dieter</c:v>
                </c:pt>
                <c:pt idx="24">
                  <c:v>Rosie Papadopoulos</c:v>
                </c:pt>
                <c:pt idx="25">
                  <c:v>Versie Hillebrand</c:v>
                </c:pt>
                <c:pt idx="26">
                  <c:v>Vicki Laflamme</c:v>
                </c:pt>
                <c:pt idx="27">
                  <c:v>Violet Mclelland</c:v>
                </c:pt>
                <c:pt idx="28">
                  <c:v>Wilburn Farren</c:v>
                </c:pt>
                <c:pt idx="29">
                  <c:v>Zane Levy</c:v>
                </c:pt>
              </c:strCache>
            </c:strRef>
          </c:cat>
          <c:val>
            <c:numRef>
              <c:f>'Performance por vendedor'!$B$2:$B$32</c:f>
              <c:numCache>
                <c:formatCode>"$"#,##0.00</c:formatCode>
                <c:ptCount val="30"/>
                <c:pt idx="0">
                  <c:v>275056</c:v>
                </c:pt>
                <c:pt idx="1">
                  <c:v>261631</c:v>
                </c:pt>
                <c:pt idx="2">
                  <c:v>450489</c:v>
                </c:pt>
                <c:pt idx="3">
                  <c:v>229800</c:v>
                </c:pt>
                <c:pt idx="4">
                  <c:v>421036</c:v>
                </c:pt>
                <c:pt idx="5">
                  <c:v>364229</c:v>
                </c:pt>
                <c:pt idx="6">
                  <c:v>1153214</c:v>
                </c:pt>
                <c:pt idx="7">
                  <c:v>445860</c:v>
                </c:pt>
                <c:pt idx="8">
                  <c:v>289195</c:v>
                </c:pt>
                <c:pt idx="9">
                  <c:v>197773</c:v>
                </c:pt>
                <c:pt idx="10">
                  <c:v>345674</c:v>
                </c:pt>
                <c:pt idx="11">
                  <c:v>272111</c:v>
                </c:pt>
                <c:pt idx="12">
                  <c:v>413533</c:v>
                </c:pt>
                <c:pt idx="13">
                  <c:v>284886</c:v>
                </c:pt>
                <c:pt idx="14">
                  <c:v>316456</c:v>
                </c:pt>
                <c:pt idx="15">
                  <c:v>454298</c:v>
                </c:pt>
                <c:pt idx="16">
                  <c:v>194632</c:v>
                </c:pt>
                <c:pt idx="17">
                  <c:v>328792</c:v>
                </c:pt>
                <c:pt idx="18">
                  <c:v>291195</c:v>
                </c:pt>
                <c:pt idx="19">
                  <c:v>350395</c:v>
                </c:pt>
                <c:pt idx="20">
                  <c:v>207182</c:v>
                </c:pt>
                <c:pt idx="21">
                  <c:v>176961</c:v>
                </c:pt>
                <c:pt idx="22">
                  <c:v>438336</c:v>
                </c:pt>
                <c:pt idx="23">
                  <c:v>235403</c:v>
                </c:pt>
                <c:pt idx="24">
                  <c:v>230169</c:v>
                </c:pt>
                <c:pt idx="25">
                  <c:v>187693</c:v>
                </c:pt>
                <c:pt idx="26">
                  <c:v>478396</c:v>
                </c:pt>
                <c:pt idx="27">
                  <c:v>123431</c:v>
                </c:pt>
                <c:pt idx="28">
                  <c:v>157640</c:v>
                </c:pt>
                <c:pt idx="29">
                  <c:v>430068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FF-492A-AA12-5F506041E0CA}"/>
            </c:ext>
          </c:extLst>
        </c:ser>
        <c:ser>
          <c:idx val="1"/>
          <c:order val="1"/>
          <c:tx>
            <c:strRef>
              <c:f>'Performance por vendedor'!$C$1</c:f>
              <c:strCache>
                <c:ptCount val="1"/>
                <c:pt idx="0">
                  <c:v>Won Deals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'Performance por vendedor'!$A$2:$A$32</c:f>
              <c:strCache>
                <c:ptCount val="30"/>
                <c:pt idx="0">
                  <c:v>Anna Snelling</c:v>
                </c:pt>
                <c:pt idx="1">
                  <c:v>Boris Faz</c:v>
                </c:pt>
                <c:pt idx="2">
                  <c:v>Cassey Cress</c:v>
                </c:pt>
                <c:pt idx="3">
                  <c:v>Cecily Lampkin</c:v>
                </c:pt>
                <c:pt idx="4">
                  <c:v>Corliss Cosme</c:v>
                </c:pt>
                <c:pt idx="5">
                  <c:v>Daniell Hammack</c:v>
                </c:pt>
                <c:pt idx="6">
                  <c:v>Darcel Schlecht</c:v>
                </c:pt>
                <c:pt idx="7">
                  <c:v>Donn Cantrell</c:v>
                </c:pt>
                <c:pt idx="8">
                  <c:v>Elease Gluck</c:v>
                </c:pt>
                <c:pt idx="9">
                  <c:v>Garret Kinder</c:v>
                </c:pt>
                <c:pt idx="10">
                  <c:v>Gladys Colclough</c:v>
                </c:pt>
                <c:pt idx="11">
                  <c:v>Hayden Neloms</c:v>
                </c:pt>
                <c:pt idx="12">
                  <c:v>James Ascencio</c:v>
                </c:pt>
                <c:pt idx="13">
                  <c:v>Jonathan Berthelot</c:v>
                </c:pt>
                <c:pt idx="14">
                  <c:v>Kami Bicknell</c:v>
                </c:pt>
                <c:pt idx="15">
                  <c:v>Kary Hendrixson</c:v>
                </c:pt>
                <c:pt idx="16">
                  <c:v>Lajuana Vencill</c:v>
                </c:pt>
                <c:pt idx="17">
                  <c:v>Markita Hansen</c:v>
                </c:pt>
                <c:pt idx="18">
                  <c:v>Marty Freudenburg</c:v>
                </c:pt>
                <c:pt idx="19">
                  <c:v>Maureen Marcano</c:v>
                </c:pt>
                <c:pt idx="20">
                  <c:v>Moses Frase</c:v>
                </c:pt>
                <c:pt idx="21">
                  <c:v>Niesha Huffines</c:v>
                </c:pt>
                <c:pt idx="22">
                  <c:v>Reed Clapper</c:v>
                </c:pt>
                <c:pt idx="23">
                  <c:v>Rosalina Dieter</c:v>
                </c:pt>
                <c:pt idx="24">
                  <c:v>Rosie Papadopoulos</c:v>
                </c:pt>
                <c:pt idx="25">
                  <c:v>Versie Hillebrand</c:v>
                </c:pt>
                <c:pt idx="26">
                  <c:v>Vicki Laflamme</c:v>
                </c:pt>
                <c:pt idx="27">
                  <c:v>Violet Mclelland</c:v>
                </c:pt>
                <c:pt idx="28">
                  <c:v>Wilburn Farren</c:v>
                </c:pt>
                <c:pt idx="29">
                  <c:v>Zane Levy</c:v>
                </c:pt>
              </c:strCache>
            </c:strRef>
          </c:cat>
          <c:val>
            <c:numRef>
              <c:f>'Performance por vendedor'!$C$2:$C$32</c:f>
              <c:numCache>
                <c:formatCode>0.00</c:formatCode>
                <c:ptCount val="30"/>
                <c:pt idx="0">
                  <c:v>208</c:v>
                </c:pt>
                <c:pt idx="1">
                  <c:v>101</c:v>
                </c:pt>
                <c:pt idx="2">
                  <c:v>163</c:v>
                </c:pt>
                <c:pt idx="3">
                  <c:v>107</c:v>
                </c:pt>
                <c:pt idx="4">
                  <c:v>150</c:v>
                </c:pt>
                <c:pt idx="5">
                  <c:v>114</c:v>
                </c:pt>
                <c:pt idx="6">
                  <c:v>349</c:v>
                </c:pt>
                <c:pt idx="7">
                  <c:v>158</c:v>
                </c:pt>
                <c:pt idx="8">
                  <c:v>80</c:v>
                </c:pt>
                <c:pt idx="9">
                  <c:v>75</c:v>
                </c:pt>
                <c:pt idx="10">
                  <c:v>135</c:v>
                </c:pt>
                <c:pt idx="11">
                  <c:v>107</c:v>
                </c:pt>
                <c:pt idx="12">
                  <c:v>135</c:v>
                </c:pt>
                <c:pt idx="13">
                  <c:v>171</c:v>
                </c:pt>
                <c:pt idx="14">
                  <c:v>174</c:v>
                </c:pt>
                <c:pt idx="15">
                  <c:v>209</c:v>
                </c:pt>
                <c:pt idx="16">
                  <c:v>127</c:v>
                </c:pt>
                <c:pt idx="17">
                  <c:v>130</c:v>
                </c:pt>
                <c:pt idx="18">
                  <c:v>122</c:v>
                </c:pt>
                <c:pt idx="19">
                  <c:v>149</c:v>
                </c:pt>
                <c:pt idx="20">
                  <c:v>129</c:v>
                </c:pt>
                <c:pt idx="21">
                  <c:v>105</c:v>
                </c:pt>
                <c:pt idx="22">
                  <c:v>155</c:v>
                </c:pt>
                <c:pt idx="23">
                  <c:v>72</c:v>
                </c:pt>
                <c:pt idx="24">
                  <c:v>78</c:v>
                </c:pt>
                <c:pt idx="25">
                  <c:v>176</c:v>
                </c:pt>
                <c:pt idx="26">
                  <c:v>221</c:v>
                </c:pt>
                <c:pt idx="27">
                  <c:v>122</c:v>
                </c:pt>
                <c:pt idx="28">
                  <c:v>55</c:v>
                </c:pt>
                <c:pt idx="29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FF-492A-AA12-5F506041E0CA}"/>
            </c:ext>
          </c:extLst>
        </c:ser>
        <c:ser>
          <c:idx val="2"/>
          <c:order val="2"/>
          <c:tx>
            <c:strRef>
              <c:f>'Performance por vendedor'!$D$1</c:f>
              <c:strCache>
                <c:ptCount val="1"/>
                <c:pt idx="0">
                  <c:v>Win 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'Performance por vendedor'!$A$2:$A$32</c:f>
              <c:strCache>
                <c:ptCount val="30"/>
                <c:pt idx="0">
                  <c:v>Anna Snelling</c:v>
                </c:pt>
                <c:pt idx="1">
                  <c:v>Boris Faz</c:v>
                </c:pt>
                <c:pt idx="2">
                  <c:v>Cassey Cress</c:v>
                </c:pt>
                <c:pt idx="3">
                  <c:v>Cecily Lampkin</c:v>
                </c:pt>
                <c:pt idx="4">
                  <c:v>Corliss Cosme</c:v>
                </c:pt>
                <c:pt idx="5">
                  <c:v>Daniell Hammack</c:v>
                </c:pt>
                <c:pt idx="6">
                  <c:v>Darcel Schlecht</c:v>
                </c:pt>
                <c:pt idx="7">
                  <c:v>Donn Cantrell</c:v>
                </c:pt>
                <c:pt idx="8">
                  <c:v>Elease Gluck</c:v>
                </c:pt>
                <c:pt idx="9">
                  <c:v>Garret Kinder</c:v>
                </c:pt>
                <c:pt idx="10">
                  <c:v>Gladys Colclough</c:v>
                </c:pt>
                <c:pt idx="11">
                  <c:v>Hayden Neloms</c:v>
                </c:pt>
                <c:pt idx="12">
                  <c:v>James Ascencio</c:v>
                </c:pt>
                <c:pt idx="13">
                  <c:v>Jonathan Berthelot</c:v>
                </c:pt>
                <c:pt idx="14">
                  <c:v>Kami Bicknell</c:v>
                </c:pt>
                <c:pt idx="15">
                  <c:v>Kary Hendrixson</c:v>
                </c:pt>
                <c:pt idx="16">
                  <c:v>Lajuana Vencill</c:v>
                </c:pt>
                <c:pt idx="17">
                  <c:v>Markita Hansen</c:v>
                </c:pt>
                <c:pt idx="18">
                  <c:v>Marty Freudenburg</c:v>
                </c:pt>
                <c:pt idx="19">
                  <c:v>Maureen Marcano</c:v>
                </c:pt>
                <c:pt idx="20">
                  <c:v>Moses Frase</c:v>
                </c:pt>
                <c:pt idx="21">
                  <c:v>Niesha Huffines</c:v>
                </c:pt>
                <c:pt idx="22">
                  <c:v>Reed Clapper</c:v>
                </c:pt>
                <c:pt idx="23">
                  <c:v>Rosalina Dieter</c:v>
                </c:pt>
                <c:pt idx="24">
                  <c:v>Rosie Papadopoulos</c:v>
                </c:pt>
                <c:pt idx="25">
                  <c:v>Versie Hillebrand</c:v>
                </c:pt>
                <c:pt idx="26">
                  <c:v>Vicki Laflamme</c:v>
                </c:pt>
                <c:pt idx="27">
                  <c:v>Violet Mclelland</c:v>
                </c:pt>
                <c:pt idx="28">
                  <c:v>Wilburn Farren</c:v>
                </c:pt>
                <c:pt idx="29">
                  <c:v>Zane Levy</c:v>
                </c:pt>
              </c:strCache>
            </c:strRef>
          </c:cat>
          <c:val>
            <c:numRef>
              <c:f>'Performance por vendedor'!$D$2:$D$32</c:f>
              <c:numCache>
                <c:formatCode>0.00%</c:formatCode>
                <c:ptCount val="30"/>
                <c:pt idx="0">
                  <c:v>0.4642857142857143</c:v>
                </c:pt>
                <c:pt idx="1">
                  <c:v>0.48095238095238096</c:v>
                </c:pt>
                <c:pt idx="2">
                  <c:v>0.47109826589595377</c:v>
                </c:pt>
                <c:pt idx="3">
                  <c:v>0.52709359605911332</c:v>
                </c:pt>
                <c:pt idx="4">
                  <c:v>0.4838709677419355</c:v>
                </c:pt>
                <c:pt idx="5">
                  <c:v>0.44015444015444016</c:v>
                </c:pt>
                <c:pt idx="6">
                  <c:v>0.46720214190093706</c:v>
                </c:pt>
                <c:pt idx="7">
                  <c:v>0.57454545454545458</c:v>
                </c:pt>
                <c:pt idx="8">
                  <c:v>0.4519774011299435</c:v>
                </c:pt>
                <c:pt idx="9">
                  <c:v>0.6097560975609756</c:v>
                </c:pt>
                <c:pt idx="10">
                  <c:v>0.42586750788643535</c:v>
                </c:pt>
                <c:pt idx="11">
                  <c:v>0.52970297029702973</c:v>
                </c:pt>
                <c:pt idx="12">
                  <c:v>0.5056179775280899</c:v>
                </c:pt>
                <c:pt idx="13">
                  <c:v>0.4956521739130435</c:v>
                </c:pt>
                <c:pt idx="14">
                  <c:v>0.48066298342541436</c:v>
                </c:pt>
                <c:pt idx="15">
                  <c:v>0.4771689497716895</c:v>
                </c:pt>
                <c:pt idx="16">
                  <c:v>0.40836012861736337</c:v>
                </c:pt>
                <c:pt idx="17">
                  <c:v>0.42483660130718953</c:v>
                </c:pt>
                <c:pt idx="18">
                  <c:v>0.43416370106761565</c:v>
                </c:pt>
                <c:pt idx="19">
                  <c:v>0.52280701754385961</c:v>
                </c:pt>
                <c:pt idx="20">
                  <c:v>0.49615384615384617</c:v>
                </c:pt>
                <c:pt idx="21">
                  <c:v>0.43933054393305437</c:v>
                </c:pt>
                <c:pt idx="22">
                  <c:v>0.65400843881856541</c:v>
                </c:pt>
                <c:pt idx="23">
                  <c:v>0.45</c:v>
                </c:pt>
                <c:pt idx="24">
                  <c:v>0.48749999999999999</c:v>
                </c:pt>
                <c:pt idx="25">
                  <c:v>0.48753462603878117</c:v>
                </c:pt>
                <c:pt idx="26">
                  <c:v>0.49002217294900224</c:v>
                </c:pt>
                <c:pt idx="27">
                  <c:v>0.46743295019157088</c:v>
                </c:pt>
                <c:pt idx="28">
                  <c:v>0.5</c:v>
                </c:pt>
                <c:pt idx="29">
                  <c:v>0.46131805157593125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FF-492A-AA12-5F506041E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8101984"/>
        <c:axId val="828098240"/>
      </c:barChart>
      <c:catAx>
        <c:axId val="828101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098240"/>
        <c:crosses val="autoZero"/>
        <c:auto val="1"/>
        <c:lblAlgn val="ctr"/>
        <c:lblOffset val="100"/>
        <c:noMultiLvlLbl val="0"/>
      </c:catAx>
      <c:valAx>
        <c:axId val="82809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10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[Sales_Analytics_EndToEnd.xlsx]Deal size vs win rate!TablaDinámica4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'Deal size vs win rate'!$B$1</c:f>
              <c:strCache>
                <c:ptCount val="1"/>
                <c:pt idx="0">
                  <c:v>Win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'Deal size vs win rate'!$A$2:$A$5</c:f>
              <c:strCache>
                <c:ptCount val="3"/>
                <c:pt idx="0">
                  <c:v>Large</c:v>
                </c:pt>
                <c:pt idx="1">
                  <c:v>Small</c:v>
                </c:pt>
                <c:pt idx="2">
                  <c:v>Unknown</c:v>
                </c:pt>
              </c:strCache>
            </c:strRef>
          </c:cat>
          <c:val>
            <c:numRef>
              <c:f>'Deal size vs win rate'!$B$2:$B$5</c:f>
              <c:numCache>
                <c:formatCode>0.00%</c:formatCode>
                <c:ptCount val="3"/>
                <c:pt idx="0">
                  <c:v>1</c:v>
                </c:pt>
                <c:pt idx="1">
                  <c:v>0.49694873881204232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C1-4EB8-A835-BB9AF76A5FC9}"/>
            </c:ext>
          </c:extLst>
        </c:ser>
        <c:ser>
          <c:idx val="1"/>
          <c:order val="1"/>
          <c:tx>
            <c:strRef>
              <c:f>'Deal size vs win rate'!$C$1</c:f>
              <c:strCache>
                <c:ptCount val="1"/>
                <c:pt idx="0">
                  <c:v>Total Deals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'Deal size vs win rate'!$A$2:$A$5</c:f>
              <c:strCache>
                <c:ptCount val="3"/>
                <c:pt idx="0">
                  <c:v>Large</c:v>
                </c:pt>
                <c:pt idx="1">
                  <c:v>Small</c:v>
                </c:pt>
                <c:pt idx="2">
                  <c:v>Unknown</c:v>
                </c:pt>
              </c:strCache>
            </c:strRef>
          </c:cat>
          <c:val>
            <c:numRef>
              <c:f>'Deal size vs win rate'!$C$2:$C$5</c:f>
              <c:numCache>
                <c:formatCode>General</c:formatCode>
                <c:ptCount val="3"/>
                <c:pt idx="0">
                  <c:v>1795</c:v>
                </c:pt>
                <c:pt idx="1">
                  <c:v>4916</c:v>
                </c:pt>
                <c:pt idx="2">
                  <c:v>2089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C1-4EB8-A835-BB9AF76A5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28131936"/>
        <c:axId val="828121952"/>
        <c:axId val="0"/>
      </c:bar3DChart>
      <c:catAx>
        <c:axId val="82813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121952"/>
        <c:crosses val="autoZero"/>
        <c:auto val="1"/>
        <c:lblAlgn val="ctr"/>
        <c:lblOffset val="100"/>
        <c:noMultiLvlLbl val="0"/>
      </c:catAx>
      <c:valAx>
        <c:axId val="82812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13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479425</xdr:colOff>
      <xdr:row>0</xdr:row>
      <xdr:rowOff>82550</xdr:rowOff>
    </xdr:from>
    <xdr:to>
      <xdr:col>6</xdr:col>
      <xdr:colOff>1101725</xdr:colOff>
      <xdr:row>15</xdr:row>
      <xdr:rowOff>63500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C5D6DB-38C2-4977-9F7E-E7A2353D7A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244475</xdr:colOff>
      <xdr:row>0</xdr:row>
      <xdr:rowOff>146050</xdr:rowOff>
    </xdr:from>
    <xdr:to>
      <xdr:col>8</xdr:col>
      <xdr:colOff>244475</xdr:colOff>
      <xdr:row>15</xdr:row>
      <xdr:rowOff>127000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A1318D-D530-4FA3-A555-8E354067C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346075</xdr:colOff>
      <xdr:row>0</xdr:row>
      <xdr:rowOff>76200</xdr:rowOff>
    </xdr:from>
    <xdr:to>
      <xdr:col>8</xdr:col>
      <xdr:colOff>346075</xdr:colOff>
      <xdr:row>15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3AF3709-EB24-4405-9445-9254329AC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263525</xdr:colOff>
      <xdr:row>0</xdr:row>
      <xdr:rowOff>95250</xdr:rowOff>
    </xdr:from>
    <xdr:to>
      <xdr:col>10</xdr:col>
      <xdr:colOff>263525</xdr:colOff>
      <xdr:row>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05F7F40-BAB8-46F1-BF5D-BC010BA6E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250825</xdr:colOff>
      <xdr:row>0</xdr:row>
      <xdr:rowOff>88900</xdr:rowOff>
    </xdr:from>
    <xdr:to>
      <xdr:col>9</xdr:col>
      <xdr:colOff>250825</xdr:colOff>
      <xdr:row>15</xdr:row>
      <xdr:rowOff>69850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FB5F18-1AD8-4F67-9424-BF6F75CDBD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an Manuel García Ramírez" refreshedDate="46099.739295717591" backgroundQuery="1" createdVersion="7" refreshedVersion="7" minRefreshableVersion="3" recordCount="0" supportSubquery="1" supportAdvancedDrill="1" xr:uid="{9800BCFD-3A24-484E-912B-4C10D9D768ED}">
  <cacheSource type="external" connectionId="7"/>
  <cacheFields count="3">
    <cacheField name="[Measures].[Total Revenue]" caption="Total Revenue" numFmtId="0" hierarchy="29" level="32767"/>
    <cacheField name="[Dim_dates].[year (NK)].[year (NK)]" caption="year (NK)" numFmtId="0" hierarchy="8" level="1">
      <sharedItems containsSemiMixedTypes="0" containsString="0" containsNumber="1" containsInteger="1" minValue="2017" maxValue="2017" count="1">
        <n v="2017"/>
      </sharedItems>
      <extLst>
        <ext xmlns:x15="http://schemas.microsoft.com/office/spreadsheetml/2010/11/main" uri="{4F2E5C28-24EA-4eb8-9CBF-B6C8F9C3D259}">
          <x15:cachedUniqueNames>
            <x15:cachedUniqueName index="0" name="[Dim_dates].[year (NK)].&amp;[2017]"/>
          </x15:cachedUniqueNames>
        </ext>
      </extLst>
    </cacheField>
    <cacheField name="[Dim_dates].[month (NK)].[month (NK)]" caption="month (NK)" numFmtId="0" hierarchy="10" level="1">
      <sharedItems count="10">
        <s v="April"/>
        <s v="August"/>
        <s v="December"/>
        <s v="July"/>
        <s v="June"/>
        <s v="March"/>
        <s v="May"/>
        <s v="November"/>
        <s v="October"/>
        <s v="September"/>
      </sharedItems>
    </cacheField>
  </cacheFields>
  <cacheHierarchies count="40">
    <cacheHierarchy uniqueName="[Dim_accounts].[account (PK)]" caption="account (PK)" attribute="1" defaultMemberUniqueName="[Dim_accounts].[account (PK)].[All]" allUniqueName="[Dim_accounts].[account (PK)].[All]" dimensionUniqueName="[Dim_accounts]" displayFolder="" count="0" memberValueDatatype="130" unbalanced="0"/>
    <cacheHierarchy uniqueName="[Dim_accounts].[sector (NK)]" caption="sector (NK)" attribute="1" defaultMemberUniqueName="[Dim_accounts].[sector (NK)].[All]" allUniqueName="[Dim_accounts].[sector (NK)].[All]" dimensionUniqueName="[Dim_accounts]" displayFolder="" count="0" memberValueDatatype="130" unbalanced="0"/>
    <cacheHierarchy uniqueName="[Dim_accounts].[year_established (NK)]" caption="year_established (NK)" attribute="1" defaultMemberUniqueName="[Dim_accounts].[year_established (NK)].[All]" allUniqueName="[Dim_accounts].[year_established (NK)].[All]" dimensionUniqueName="[Dim_accounts]" displayFolder="" count="0" memberValueDatatype="20" unbalanced="0"/>
    <cacheHierarchy uniqueName="[Dim_accounts].[revenue (NK)]" caption="revenue (NK)" attribute="1" defaultMemberUniqueName="[Dim_accounts].[revenue (NK)].[All]" allUniqueName="[Dim_accounts].[revenue (NK)].[All]" dimensionUniqueName="[Dim_accounts]" displayFolder="" count="0" memberValueDatatype="5" unbalanced="0"/>
    <cacheHierarchy uniqueName="[Dim_accounts].[employees (NK)]" caption="employees (NK)" attribute="1" defaultMemberUniqueName="[Dim_accounts].[employees (NK)].[All]" allUniqueName="[Dim_accounts].[employees (NK)].[All]" dimensionUniqueName="[Dim_accounts]" displayFolder="" count="0" memberValueDatatype="20" unbalanced="0"/>
    <cacheHierarchy uniqueName="[Dim_accounts].[office_location (NK)]" caption="office_location (NK)" attribute="1" defaultMemberUniqueName="[Dim_accounts].[office_location (NK)].[All]" allUniqueName="[Dim_accounts].[office_location (NK)].[All]" dimensionUniqueName="[Dim_accounts]" displayFolder="" count="0" memberValueDatatype="130" unbalanced="0"/>
    <cacheHierarchy uniqueName="[Dim_accounts].[subsidiary_of (NK)]" caption="subsidiary_of (NK)" attribute="1" defaultMemberUniqueName="[Dim_accounts].[subsidiary_of (NK)].[All]" allUniqueName="[Dim_accounts].[subsidiary_of (NK)].[All]" dimensionUniqueName="[Dim_accounts]" displayFolder="" count="0" memberValueDatatype="130" unbalanced="0"/>
    <cacheHierarchy uniqueName="[Dim_dates].[date (PK)]" caption="date (PK)" attribute="1" time="1" defaultMemberUniqueName="[Dim_dates].[date (PK)].[All]" allUniqueName="[Dim_dates].[date (PK)].[All]" dimensionUniqueName="[Dim_dates]" displayFolder="" count="0" memberValueDatatype="7" unbalanced="0"/>
    <cacheHierarchy uniqueName="[Dim_dates].[year (NK)]" caption="year (NK)" attribute="1" defaultMemberUniqueName="[Dim_dates].[year (NK)].[All]" allUniqueName="[Dim_dates].[year (NK)].[All]" dimensionUniqueName="[Dim_dates]" displayFolder="" count="2" memberValueDatatype="20" unbalanced="0">
      <fieldsUsage count="2">
        <fieldUsage x="-1"/>
        <fieldUsage x="1"/>
      </fieldsUsage>
    </cacheHierarchy>
    <cacheHierarchy uniqueName="[Dim_dates].[month_number (NK)]" caption="month_number (NK)" attribute="1" defaultMemberUniqueName="[Dim_dates].[month_number (NK)].[All]" allUniqueName="[Dim_dates].[month_number (NK)].[All]" dimensionUniqueName="[Dim_dates]" displayFolder="" count="0" memberValueDatatype="20" unbalanced="0"/>
    <cacheHierarchy uniqueName="[Dim_dates].[month (NK)]" caption="month (NK)" attribute="1" defaultMemberUniqueName="[Dim_dates].[month (NK)].[All]" allUniqueName="[Dim_dates].[month (NK)].[All]" dimensionUniqueName="[Dim_dates]" displayFolder="" count="2" memberValueDatatype="130" unbalanced="0">
      <fieldsUsage count="2">
        <fieldUsage x="-1"/>
        <fieldUsage x="2"/>
      </fieldsUsage>
    </cacheHierarchy>
    <cacheHierarchy uniqueName="[Dim_dates].[quarter (NK)]" caption="quarter (NK)" attribute="1" defaultMemberUniqueName="[Dim_dates].[quarter (NK)].[All]" allUniqueName="[Dim_dates].[quarter (NK)].[All]" dimensionUniqueName="[Dim_dates]" displayFolder="" count="0" memberValueDatatype="130" unbalanced="0"/>
    <cacheHierarchy uniqueName="[Dim_dates].[day (NK)]" caption="day (NK)" attribute="1" defaultMemberUniqueName="[Dim_dates].[day (NK)].[All]" allUniqueName="[Dim_dates].[day (NK)].[All]" dimensionUniqueName="[Dim_dates]" displayFolder="" count="0" memberValueDatatype="20" unbalanced="0"/>
    <cacheHierarchy uniqueName="[Dim_dates].[year_month (NK)]" caption="year_month (NK)" attribute="1" defaultMemberUniqueName="[Dim_dates].[year_month (NK)].[All]" allUniqueName="[Dim_dates].[year_month (NK)].[All]" dimensionUniqueName="[Dim_dates]" displayFolder="" count="0" memberValueDatatype="130" unbalanced="0"/>
    <cacheHierarchy uniqueName="[Dim_products].[product (PK)]" caption="product (PK)" attribute="1" defaultMemberUniqueName="[Dim_products].[product (PK)].[All]" allUniqueName="[Dim_products].[product (PK)].[All]" dimensionUniqueName="[Dim_products]" displayFolder="" count="0" memberValueDatatype="130" unbalanced="0"/>
    <cacheHierarchy uniqueName="[Dim_products].[series (NK)]" caption="series (NK)" attribute="1" defaultMemberUniqueName="[Dim_products].[series (NK)].[All]" allUniqueName="[Dim_products].[series (NK)].[All]" dimensionUniqueName="[Dim_products]" displayFolder="" count="0" memberValueDatatype="130" unbalanced="0"/>
    <cacheHierarchy uniqueName="[Dim_products].[sales_price (NK)]" caption="sales_price (NK)" attribute="1" defaultMemberUniqueName="[Dim_products].[sales_price (NK)].[All]" allUniqueName="[Dim_products].[sales_price (NK)].[All]" dimensionUniqueName="[Dim_products]" displayFolder="" count="0" memberValueDatatype="5" unbalanced="0"/>
    <cacheHierarchy uniqueName="[Dim_sales_agent].[sales_agent (PK)]" caption="sales_agent (PK)" attribute="1" defaultMemberUniqueName="[Dim_sales_agent].[sales_agent (PK)].[All]" allUniqueName="[Dim_sales_agent].[sales_agent (PK)].[All]" dimensionUniqueName="[Dim_sales_agent]" displayFolder="" count="0" memberValueDatatype="130" unbalanced="0"/>
    <cacheHierarchy uniqueName="[Dim_sales_agent].[manager (NK)]" caption="manager (NK)" attribute="1" defaultMemberUniqueName="[Dim_sales_agent].[manager (NK)].[All]" allUniqueName="[Dim_sales_agent].[manager (NK)].[All]" dimensionUniqueName="[Dim_sales_agent]" displayFolder="" count="0" memberValueDatatype="130" unbalanced="0"/>
    <cacheHierarchy uniqueName="[Dim_sales_agent].[regional_office (NK)]" caption="regional_office (NK)" attribute="1" defaultMemberUniqueName="[Dim_sales_agent].[regional_office (NK)].[All]" allUniqueName="[Dim_sales_agent].[regional_office (NK)].[All]" dimensionUniqueName="[Dim_sales_agent]" displayFolder="" count="0" memberValueDatatype="130" unbalanced="0"/>
    <cacheHierarchy uniqueName="[Fact_sales_pipeline].[opportunity_id (PK)]" caption="opportunity_id (PK)" attribute="1" defaultMemberUniqueName="[Fact_sales_pipeline].[opportunity_id (PK)].[All]" allUniqueName="[Fact_sales_pipeline].[opportunity_id (PK)].[All]" dimensionUniqueName="[Fact_sales_pipeline]" displayFolder="" count="0" memberValueDatatype="130" unbalanced="0"/>
    <cacheHierarchy uniqueName="[Fact_sales_pipeline].[sales_agent (NK)]" caption="sales_agent (NK)" attribute="1" defaultMemberUniqueName="[Fact_sales_pipeline].[sales_agent (NK)].[All]" allUniqueName="[Fact_sales_pipeline].[sales_agent (NK)].[All]" dimensionUniqueName="[Fact_sales_pipeline]" displayFolder="" count="0" memberValueDatatype="130" unbalanced="0"/>
    <cacheHierarchy uniqueName="[Fact_sales_pipeline].[product (NK)]" caption="product (NK)" attribute="1" defaultMemberUniqueName="[Fact_sales_pipeline].[product (NK)].[All]" allUniqueName="[Fact_sales_pipeline].[product (NK)].[All]" dimensionUniqueName="[Fact_sales_pipeline]" displayFolder="" count="0" memberValueDatatype="130" unbalanced="0"/>
    <cacheHierarchy uniqueName="[Fact_sales_pipeline].[account (NK)]" caption="account (NK)" attribute="1" defaultMemberUniqueName="[Fact_sales_pipeline].[account (NK)].[All]" allUniqueName="[Fact_sales_pipeline].[account (NK)].[All]" dimensionUniqueName="[Fact_sales_pipeline]" displayFolder="" count="0" memberValueDatatype="130" unbalanced="0"/>
    <cacheHierarchy uniqueName="[Fact_sales_pipeline].[deal_stage (NK)]" caption="deal_stage (NK)" attribute="1" defaultMemberUniqueName="[Fact_sales_pipeline].[deal_stage (NK)].[All]" allUniqueName="[Fact_sales_pipeline].[deal_stage (NK)].[All]" dimensionUniqueName="[Fact_sales_pipeline]" displayFolder="" count="0" memberValueDatatype="130" unbalanced="0"/>
    <cacheHierarchy uniqueName="[Fact_sales_pipeline].[engage_date (NK)]" caption="engage_date (NK)" attribute="1" time="1" defaultMemberUniqueName="[Fact_sales_pipeline].[engage_date (NK)].[All]" allUniqueName="[Fact_sales_pipeline].[engage_date (NK)].[All]" dimensionUniqueName="[Fact_sales_pipeline]" displayFolder="" count="0" memberValueDatatype="7" unbalanced="0"/>
    <cacheHierarchy uniqueName="[Fact_sales_pipeline].[close_date (NK)]" caption="close_date (NK)" attribute="1" time="1" defaultMemberUniqueName="[Fact_sales_pipeline].[close_date (NK)].[All]" allUniqueName="[Fact_sales_pipeline].[close_date (NK)].[All]" dimensionUniqueName="[Fact_sales_pipeline]" displayFolder="" count="0" memberValueDatatype="7" unbalanced="0"/>
    <cacheHierarchy uniqueName="[Fact_sales_pipeline].[close_value (NK)]" caption="close_value (NK)" attribute="1" defaultMemberUniqueName="[Fact_sales_pipeline].[close_value (NK)].[All]" allUniqueName="[Fact_sales_pipeline].[close_value (NK)].[All]" dimensionUniqueName="[Fact_sales_pipeline]" displayFolder="" count="0" memberValueDatatype="5" unbalanced="0"/>
    <cacheHierarchy uniqueName="[Fact_sales_pipeline].[deal_size]" caption="deal_size" attribute="1" defaultMemberUniqueName="[Fact_sales_pipeline].[deal_size].[All]" allUniqueName="[Fact_sales_pipeline].[deal_size].[All]" dimensionUniqueName="[Fact_sales_pipeline]" displayFolder="" count="0" memberValueDatatype="130" unbalanced="0"/>
    <cacheHierarchy uniqueName="[Measures].[Total Revenue]" caption="Total Revenue" measure="1" displayFolder="" measureGroup="Fact_sales_pipeline" count="0" oneField="1">
      <fieldsUsage count="1">
        <fieldUsage x="0"/>
      </fieldsUsage>
    </cacheHierarchy>
    <cacheHierarchy uniqueName="[Measures].[Total Deals]" caption="Total Deals" measure="1" displayFolder="" measureGroup="Fact_sales_pipeline" count="0"/>
    <cacheHierarchy uniqueName="[Measures].[Won Deals]" caption="Won Deals" measure="1" displayFolder="" measureGroup="Fact_sales_pipeline" count="0"/>
    <cacheHierarchy uniqueName="[Measures].[Win Rate]" caption="Win Rate" measure="1" displayFolder="" measureGroup="Fact_sales_pipeline" count="0"/>
    <cacheHierarchy uniqueName="[Measures].[Avg Deal Size]" caption="Avg Deal Size" measure="1" displayFolder="" measureGroup="Fact_sales_pipeline" count="0"/>
    <cacheHierarchy uniqueName="[Measures].[__XL_Count Fact_sales_pipeline]" caption="__XL_Count Fact_sales_pipeline" measure="1" displayFolder="" measureGroup="Fact_sales_pipeline" count="0" hidden="1"/>
    <cacheHierarchy uniqueName="[Measures].[__XL_Count Dim_sales_agent]" caption="__XL_Count Dim_sales_agent" measure="1" displayFolder="" measureGroup="Dim_sales_agent" count="0" hidden="1"/>
    <cacheHierarchy uniqueName="[Measures].[__XL_Count Dim_products]" caption="__XL_Count Dim_products" measure="1" displayFolder="" measureGroup="Dim_products" count="0" hidden="1"/>
    <cacheHierarchy uniqueName="[Measures].[__XL_Count Dim_accounts]" caption="__XL_Count Dim_accounts" measure="1" displayFolder="" measureGroup="Dim_accounts" count="0" hidden="1"/>
    <cacheHierarchy uniqueName="[Measures].[__XL_Count Dim_dates]" caption="__XL_Count Dim_dates" measure="1" displayFolder="" measureGroup="Dim_dates" count="0" hidden="1"/>
    <cacheHierarchy uniqueName="[Measures].[__No measures defined]" caption="__No measures defined" measure="1" displayFolder="" count="0" hidden="1"/>
  </cacheHierarchies>
  <kpis count="0"/>
  <dimensions count="6">
    <dimension name="Dim_accounts" uniqueName="[Dim_accounts]" caption="Dim_accounts"/>
    <dimension name="Dim_dates" uniqueName="[Dim_dates]" caption="Dim_dates"/>
    <dimension name="Dim_products" uniqueName="[Dim_products]" caption="Dim_products"/>
    <dimension name="Dim_sales_agent" uniqueName="[Dim_sales_agent]" caption="Dim_sales_agent"/>
    <dimension name="Fact_sales_pipeline" uniqueName="[Fact_sales_pipeline]" caption="Fact_sales_pipeline"/>
    <dimension measure="1" name="Measures" uniqueName="[Measures]" caption="Measures"/>
  </dimensions>
  <measureGroups count="5">
    <measureGroup name="Dim_accounts" caption="Dim_accounts"/>
    <measureGroup name="Dim_dates" caption="Dim_dates"/>
    <measureGroup name="Dim_products" caption="Dim_products"/>
    <measureGroup name="Dim_sales_agent" caption="Dim_sales_agent"/>
    <measureGroup name="Fact_sales_pipeline" caption="Fact_sales_pipeline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an Manuel García Ramírez" refreshedDate="46099.739297222222" backgroundQuery="1" createdVersion="7" refreshedVersion="7" minRefreshableVersion="3" recordCount="0" supportSubquery="1" supportAdvancedDrill="1" xr:uid="{F93A2B5C-DBFC-49A5-A7FC-D075B4C5FFB5}">
  <cacheSource type="external" connectionId="7"/>
  <cacheFields count="4">
    <cacheField name="[Dim_sales_agent].[sales_agent (PK)].[sales_agent (PK)]" caption="sales_agent (PK)" numFmtId="0" hierarchy="17" level="1">
      <sharedItems count="30">
        <s v="Anna Snelling"/>
        <s v="Boris Faz"/>
        <s v="Cassey Cress"/>
        <s v="Cecily Lampkin"/>
        <s v="Corliss Cosme"/>
        <s v="Daniell Hammack"/>
        <s v="Darcel Schlecht"/>
        <s v="Donn Cantrell"/>
        <s v="Elease Gluck"/>
        <s v="Garret Kinder"/>
        <s v="Gladys Colclough"/>
        <s v="Hayden Neloms"/>
        <s v="James Ascencio"/>
        <s v="Jonathan Berthelot"/>
        <s v="Kami Bicknell"/>
        <s v="Kary Hendrixson"/>
        <s v="Lajuana Vencill"/>
        <s v="Markita Hansen"/>
        <s v="Marty Freudenburg"/>
        <s v="Maureen Marcano"/>
        <s v="Moses Frase"/>
        <s v="Niesha Huffines"/>
        <s v="Reed Clapper"/>
        <s v="Rosalina Dieter"/>
        <s v="Rosie Papadopoulos"/>
        <s v="Versie Hillebrand"/>
        <s v="Vicki Laflamme"/>
        <s v="Violet Mclelland"/>
        <s v="Wilburn Farren"/>
        <s v="Zane Levy"/>
      </sharedItems>
    </cacheField>
    <cacheField name="[Measures].[Total Revenue]" caption="Total Revenue" numFmtId="0" hierarchy="29" level="32767"/>
    <cacheField name="[Measures].[Won Deals]" caption="Won Deals" numFmtId="0" hierarchy="31" level="32767"/>
    <cacheField name="[Measures].[Win Rate]" caption="Win Rate" numFmtId="0" hierarchy="32" level="32767"/>
  </cacheFields>
  <cacheHierarchies count="40">
    <cacheHierarchy uniqueName="[Dim_accounts].[account (PK)]" caption="account (PK)" attribute="1" defaultMemberUniqueName="[Dim_accounts].[account (PK)].[All]" allUniqueName="[Dim_accounts].[account (PK)].[All]" dimensionUniqueName="[Dim_accounts]" displayFolder="" count="0" memberValueDatatype="130" unbalanced="0"/>
    <cacheHierarchy uniqueName="[Dim_accounts].[sector (NK)]" caption="sector (NK)" attribute="1" defaultMemberUniqueName="[Dim_accounts].[sector (NK)].[All]" allUniqueName="[Dim_accounts].[sector (NK)].[All]" dimensionUniqueName="[Dim_accounts]" displayFolder="" count="0" memberValueDatatype="130" unbalanced="0"/>
    <cacheHierarchy uniqueName="[Dim_accounts].[year_established (NK)]" caption="year_established (NK)" attribute="1" defaultMemberUniqueName="[Dim_accounts].[year_established (NK)].[All]" allUniqueName="[Dim_accounts].[year_established (NK)].[All]" dimensionUniqueName="[Dim_accounts]" displayFolder="" count="0" memberValueDatatype="20" unbalanced="0"/>
    <cacheHierarchy uniqueName="[Dim_accounts].[revenue (NK)]" caption="revenue (NK)" attribute="1" defaultMemberUniqueName="[Dim_accounts].[revenue (NK)].[All]" allUniqueName="[Dim_accounts].[revenue (NK)].[All]" dimensionUniqueName="[Dim_accounts]" displayFolder="" count="0" memberValueDatatype="5" unbalanced="0"/>
    <cacheHierarchy uniqueName="[Dim_accounts].[employees (NK)]" caption="employees (NK)" attribute="1" defaultMemberUniqueName="[Dim_accounts].[employees (NK)].[All]" allUniqueName="[Dim_accounts].[employees (NK)].[All]" dimensionUniqueName="[Dim_accounts]" displayFolder="" count="0" memberValueDatatype="20" unbalanced="0"/>
    <cacheHierarchy uniqueName="[Dim_accounts].[office_location (NK)]" caption="office_location (NK)" attribute="1" defaultMemberUniqueName="[Dim_accounts].[office_location (NK)].[All]" allUniqueName="[Dim_accounts].[office_location (NK)].[All]" dimensionUniqueName="[Dim_accounts]" displayFolder="" count="0" memberValueDatatype="130" unbalanced="0"/>
    <cacheHierarchy uniqueName="[Dim_accounts].[subsidiary_of (NK)]" caption="subsidiary_of (NK)" attribute="1" defaultMemberUniqueName="[Dim_accounts].[subsidiary_of (NK)].[All]" allUniqueName="[Dim_accounts].[subsidiary_of (NK)].[All]" dimensionUniqueName="[Dim_accounts]" displayFolder="" count="0" memberValueDatatype="130" unbalanced="0"/>
    <cacheHierarchy uniqueName="[Dim_dates].[date (PK)]" caption="date (PK)" attribute="1" time="1" defaultMemberUniqueName="[Dim_dates].[date (PK)].[All]" allUniqueName="[Dim_dates].[date (PK)].[All]" dimensionUniqueName="[Dim_dates]" displayFolder="" count="0" memberValueDatatype="7" unbalanced="0"/>
    <cacheHierarchy uniqueName="[Dim_dates].[year (NK)]" caption="year (NK)" attribute="1" defaultMemberUniqueName="[Dim_dates].[year (NK)].[All]" allUniqueName="[Dim_dates].[year (NK)].[All]" dimensionUniqueName="[Dim_dates]" displayFolder="" count="0" memberValueDatatype="20" unbalanced="0"/>
    <cacheHierarchy uniqueName="[Dim_dates].[month_number (NK)]" caption="month_number (NK)" attribute="1" defaultMemberUniqueName="[Dim_dates].[month_number (NK)].[All]" allUniqueName="[Dim_dates].[month_number (NK)].[All]" dimensionUniqueName="[Dim_dates]" displayFolder="" count="0" memberValueDatatype="20" unbalanced="0"/>
    <cacheHierarchy uniqueName="[Dim_dates].[month (NK)]" caption="month (NK)" attribute="1" defaultMemberUniqueName="[Dim_dates].[month (NK)].[All]" allUniqueName="[Dim_dates].[month (NK)].[All]" dimensionUniqueName="[Dim_dates]" displayFolder="" count="0" memberValueDatatype="130" unbalanced="0"/>
    <cacheHierarchy uniqueName="[Dim_dates].[quarter (NK)]" caption="quarter (NK)" attribute="1" defaultMemberUniqueName="[Dim_dates].[quarter (NK)].[All]" allUniqueName="[Dim_dates].[quarter (NK)].[All]" dimensionUniqueName="[Dim_dates]" displayFolder="" count="0" memberValueDatatype="130" unbalanced="0"/>
    <cacheHierarchy uniqueName="[Dim_dates].[day (NK)]" caption="day (NK)" attribute="1" defaultMemberUniqueName="[Dim_dates].[day (NK)].[All]" allUniqueName="[Dim_dates].[day (NK)].[All]" dimensionUniqueName="[Dim_dates]" displayFolder="" count="0" memberValueDatatype="20" unbalanced="0"/>
    <cacheHierarchy uniqueName="[Dim_dates].[year_month (NK)]" caption="year_month (NK)" attribute="1" defaultMemberUniqueName="[Dim_dates].[year_month (NK)].[All]" allUniqueName="[Dim_dates].[year_month (NK)].[All]" dimensionUniqueName="[Dim_dates]" displayFolder="" count="0" memberValueDatatype="130" unbalanced="0"/>
    <cacheHierarchy uniqueName="[Dim_products].[product (PK)]" caption="product (PK)" attribute="1" defaultMemberUniqueName="[Dim_products].[product (PK)].[All]" allUniqueName="[Dim_products].[product (PK)].[All]" dimensionUniqueName="[Dim_products]" displayFolder="" count="0" memberValueDatatype="130" unbalanced="0"/>
    <cacheHierarchy uniqueName="[Dim_products].[series (NK)]" caption="series (NK)" attribute="1" defaultMemberUniqueName="[Dim_products].[series (NK)].[All]" allUniqueName="[Dim_products].[series (NK)].[All]" dimensionUniqueName="[Dim_products]" displayFolder="" count="0" memberValueDatatype="130" unbalanced="0"/>
    <cacheHierarchy uniqueName="[Dim_products].[sales_price (NK)]" caption="sales_price (NK)" attribute="1" defaultMemberUniqueName="[Dim_products].[sales_price (NK)].[All]" allUniqueName="[Dim_products].[sales_price (NK)].[All]" dimensionUniqueName="[Dim_products]" displayFolder="" count="0" memberValueDatatype="5" unbalanced="0"/>
    <cacheHierarchy uniqueName="[Dim_sales_agent].[sales_agent (PK)]" caption="sales_agent (PK)" attribute="1" defaultMemberUniqueName="[Dim_sales_agent].[sales_agent (PK)].[All]" allUniqueName="[Dim_sales_agent].[sales_agent (PK)].[All]" dimensionUniqueName="[Dim_sales_agent]" displayFolder="" count="2" memberValueDatatype="130" unbalanced="0">
      <fieldsUsage count="2">
        <fieldUsage x="-1"/>
        <fieldUsage x="0"/>
      </fieldsUsage>
    </cacheHierarchy>
    <cacheHierarchy uniqueName="[Dim_sales_agent].[manager (NK)]" caption="manager (NK)" attribute="1" defaultMemberUniqueName="[Dim_sales_agent].[manager (NK)].[All]" allUniqueName="[Dim_sales_agent].[manager (NK)].[All]" dimensionUniqueName="[Dim_sales_agent]" displayFolder="" count="0" memberValueDatatype="130" unbalanced="0"/>
    <cacheHierarchy uniqueName="[Dim_sales_agent].[regional_office (NK)]" caption="regional_office (NK)" attribute="1" defaultMemberUniqueName="[Dim_sales_agent].[regional_office (NK)].[All]" allUniqueName="[Dim_sales_agent].[regional_office (NK)].[All]" dimensionUniqueName="[Dim_sales_agent]" displayFolder="" count="0" memberValueDatatype="130" unbalanced="0"/>
    <cacheHierarchy uniqueName="[Fact_sales_pipeline].[opportunity_id (PK)]" caption="opportunity_id (PK)" attribute="1" defaultMemberUniqueName="[Fact_sales_pipeline].[opportunity_id (PK)].[All]" allUniqueName="[Fact_sales_pipeline].[opportunity_id (PK)].[All]" dimensionUniqueName="[Fact_sales_pipeline]" displayFolder="" count="0" memberValueDatatype="130" unbalanced="0"/>
    <cacheHierarchy uniqueName="[Fact_sales_pipeline].[sales_agent (NK)]" caption="sales_agent (NK)" attribute="1" defaultMemberUniqueName="[Fact_sales_pipeline].[sales_agent (NK)].[All]" allUniqueName="[Fact_sales_pipeline].[sales_agent (NK)].[All]" dimensionUniqueName="[Fact_sales_pipeline]" displayFolder="" count="0" memberValueDatatype="130" unbalanced="0"/>
    <cacheHierarchy uniqueName="[Fact_sales_pipeline].[product (NK)]" caption="product (NK)" attribute="1" defaultMemberUniqueName="[Fact_sales_pipeline].[product (NK)].[All]" allUniqueName="[Fact_sales_pipeline].[product (NK)].[All]" dimensionUniqueName="[Fact_sales_pipeline]" displayFolder="" count="0" memberValueDatatype="130" unbalanced="0"/>
    <cacheHierarchy uniqueName="[Fact_sales_pipeline].[account (NK)]" caption="account (NK)" attribute="1" defaultMemberUniqueName="[Fact_sales_pipeline].[account (NK)].[All]" allUniqueName="[Fact_sales_pipeline].[account (NK)].[All]" dimensionUniqueName="[Fact_sales_pipeline]" displayFolder="" count="0" memberValueDatatype="130" unbalanced="0"/>
    <cacheHierarchy uniqueName="[Fact_sales_pipeline].[deal_stage (NK)]" caption="deal_stage (NK)" attribute="1" defaultMemberUniqueName="[Fact_sales_pipeline].[deal_stage (NK)].[All]" allUniqueName="[Fact_sales_pipeline].[deal_stage (NK)].[All]" dimensionUniqueName="[Fact_sales_pipeline]" displayFolder="" count="0" memberValueDatatype="130" unbalanced="0"/>
    <cacheHierarchy uniqueName="[Fact_sales_pipeline].[engage_date (NK)]" caption="engage_date (NK)" attribute="1" time="1" defaultMemberUniqueName="[Fact_sales_pipeline].[engage_date (NK)].[All]" allUniqueName="[Fact_sales_pipeline].[engage_date (NK)].[All]" dimensionUniqueName="[Fact_sales_pipeline]" displayFolder="" count="0" memberValueDatatype="7" unbalanced="0"/>
    <cacheHierarchy uniqueName="[Fact_sales_pipeline].[close_date (NK)]" caption="close_date (NK)" attribute="1" time="1" defaultMemberUniqueName="[Fact_sales_pipeline].[close_date (NK)].[All]" allUniqueName="[Fact_sales_pipeline].[close_date (NK)].[All]" dimensionUniqueName="[Fact_sales_pipeline]" displayFolder="" count="0" memberValueDatatype="7" unbalanced="0"/>
    <cacheHierarchy uniqueName="[Fact_sales_pipeline].[close_value (NK)]" caption="close_value (NK)" attribute="1" defaultMemberUniqueName="[Fact_sales_pipeline].[close_value (NK)].[All]" allUniqueName="[Fact_sales_pipeline].[close_value (NK)].[All]" dimensionUniqueName="[Fact_sales_pipeline]" displayFolder="" count="0" memberValueDatatype="5" unbalanced="0"/>
    <cacheHierarchy uniqueName="[Fact_sales_pipeline].[deal_size]" caption="deal_size" attribute="1" defaultMemberUniqueName="[Fact_sales_pipeline].[deal_size].[All]" allUniqueName="[Fact_sales_pipeline].[deal_size].[All]" dimensionUniqueName="[Fact_sales_pipeline]" displayFolder="" count="0" memberValueDatatype="130" unbalanced="0"/>
    <cacheHierarchy uniqueName="[Measures].[Total Revenue]" caption="Total Revenue" measure="1" displayFolder="" measureGroup="Fact_sales_pipeline" count="0" oneField="1">
      <fieldsUsage count="1">
        <fieldUsage x="1"/>
      </fieldsUsage>
    </cacheHierarchy>
    <cacheHierarchy uniqueName="[Measures].[Total Deals]" caption="Total Deals" measure="1" displayFolder="" measureGroup="Fact_sales_pipeline" count="0"/>
    <cacheHierarchy uniqueName="[Measures].[Won Deals]" caption="Won Deals" measure="1" displayFolder="" measureGroup="Fact_sales_pipeline" count="0" oneField="1">
      <fieldsUsage count="1">
        <fieldUsage x="2"/>
      </fieldsUsage>
    </cacheHierarchy>
    <cacheHierarchy uniqueName="[Measures].[Win Rate]" caption="Win Rate" measure="1" displayFolder="" measureGroup="Fact_sales_pipeline" count="0" oneField="1">
      <fieldsUsage count="1">
        <fieldUsage x="3"/>
      </fieldsUsage>
    </cacheHierarchy>
    <cacheHierarchy uniqueName="[Measures].[Avg Deal Size]" caption="Avg Deal Size" measure="1" displayFolder="" measureGroup="Fact_sales_pipeline" count="0"/>
    <cacheHierarchy uniqueName="[Measures].[__XL_Count Fact_sales_pipeline]" caption="__XL_Count Fact_sales_pipeline" measure="1" displayFolder="" measureGroup="Fact_sales_pipeline" count="0" hidden="1"/>
    <cacheHierarchy uniqueName="[Measures].[__XL_Count Dim_sales_agent]" caption="__XL_Count Dim_sales_agent" measure="1" displayFolder="" measureGroup="Dim_sales_agent" count="0" hidden="1"/>
    <cacheHierarchy uniqueName="[Measures].[__XL_Count Dim_products]" caption="__XL_Count Dim_products" measure="1" displayFolder="" measureGroup="Dim_products" count="0" hidden="1"/>
    <cacheHierarchy uniqueName="[Measures].[__XL_Count Dim_accounts]" caption="__XL_Count Dim_accounts" measure="1" displayFolder="" measureGroup="Dim_accounts" count="0" hidden="1"/>
    <cacheHierarchy uniqueName="[Measures].[__XL_Count Dim_dates]" caption="__XL_Count Dim_dates" measure="1" displayFolder="" measureGroup="Dim_dates" count="0" hidden="1"/>
    <cacheHierarchy uniqueName="[Measures].[__No measures defined]" caption="__No measures defined" measure="1" displayFolder="" count="0" hidden="1"/>
  </cacheHierarchies>
  <kpis count="0"/>
  <dimensions count="6">
    <dimension name="Dim_accounts" uniqueName="[Dim_accounts]" caption="Dim_accounts"/>
    <dimension name="Dim_dates" uniqueName="[Dim_dates]" caption="Dim_dates"/>
    <dimension name="Dim_products" uniqueName="[Dim_products]" caption="Dim_products"/>
    <dimension name="Dim_sales_agent" uniqueName="[Dim_sales_agent]" caption="Dim_sales_agent"/>
    <dimension name="Fact_sales_pipeline" uniqueName="[Fact_sales_pipeline]" caption="Fact_sales_pipeline"/>
    <dimension measure="1" name="Measures" uniqueName="[Measures]" caption="Measures"/>
  </dimensions>
  <measureGroups count="5">
    <measureGroup name="Dim_accounts" caption="Dim_accounts"/>
    <measureGroup name="Dim_dates" caption="Dim_dates"/>
    <measureGroup name="Dim_products" caption="Dim_products"/>
    <measureGroup name="Dim_sales_agent" caption="Dim_sales_agent"/>
    <measureGroup name="Fact_sales_pipeline" caption="Fact_sales_pipeline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an Manuel García Ramírez" refreshedDate="46099.739298263892" backgroundQuery="1" createdVersion="7" refreshedVersion="7" minRefreshableVersion="3" recordCount="0" supportSubquery="1" supportAdvancedDrill="1" xr:uid="{AD0BBEB2-2FA3-4DE8-9E64-04B050169F8F}">
  <cacheSource type="external" connectionId="7"/>
  <cacheFields count="2">
    <cacheField name="[Dim_accounts].[sector (NK)].[sector (NK)]" caption="sector (NK)" numFmtId="0" hierarchy="1" level="1">
      <sharedItems count="10">
        <s v="employment"/>
        <s v="entertainment"/>
        <s v="finance"/>
        <s v="marketing"/>
        <s v="medical"/>
        <s v="retail"/>
        <s v="services"/>
        <s v="software"/>
        <s v="technolgy"/>
        <s v="telecommunications"/>
      </sharedItems>
    </cacheField>
    <cacheField name="[Measures].[Total Revenue]" caption="Total Revenue" numFmtId="0" hierarchy="29" level="32767"/>
  </cacheFields>
  <cacheHierarchies count="40">
    <cacheHierarchy uniqueName="[Dim_accounts].[account (PK)]" caption="account (PK)" attribute="1" defaultMemberUniqueName="[Dim_accounts].[account (PK)].[All]" allUniqueName="[Dim_accounts].[account (PK)].[All]" dimensionUniqueName="[Dim_accounts]" displayFolder="" count="0" memberValueDatatype="130" unbalanced="0"/>
    <cacheHierarchy uniqueName="[Dim_accounts].[sector (NK)]" caption="sector (NK)" attribute="1" defaultMemberUniqueName="[Dim_accounts].[sector (NK)].[All]" allUniqueName="[Dim_accounts].[sector (NK)].[All]" dimensionUniqueName="[Dim_accounts]" displayFolder="" count="2" memberValueDatatype="130" unbalanced="0">
      <fieldsUsage count="2">
        <fieldUsage x="-1"/>
        <fieldUsage x="0"/>
      </fieldsUsage>
    </cacheHierarchy>
    <cacheHierarchy uniqueName="[Dim_accounts].[year_established (NK)]" caption="year_established (NK)" attribute="1" defaultMemberUniqueName="[Dim_accounts].[year_established (NK)].[All]" allUniqueName="[Dim_accounts].[year_established (NK)].[All]" dimensionUniqueName="[Dim_accounts]" displayFolder="" count="0" memberValueDatatype="20" unbalanced="0"/>
    <cacheHierarchy uniqueName="[Dim_accounts].[revenue (NK)]" caption="revenue (NK)" attribute="1" defaultMemberUniqueName="[Dim_accounts].[revenue (NK)].[All]" allUniqueName="[Dim_accounts].[revenue (NK)].[All]" dimensionUniqueName="[Dim_accounts]" displayFolder="" count="0" memberValueDatatype="5" unbalanced="0"/>
    <cacheHierarchy uniqueName="[Dim_accounts].[employees (NK)]" caption="employees (NK)" attribute="1" defaultMemberUniqueName="[Dim_accounts].[employees (NK)].[All]" allUniqueName="[Dim_accounts].[employees (NK)].[All]" dimensionUniqueName="[Dim_accounts]" displayFolder="" count="0" memberValueDatatype="20" unbalanced="0"/>
    <cacheHierarchy uniqueName="[Dim_accounts].[office_location (NK)]" caption="office_location (NK)" attribute="1" defaultMemberUniqueName="[Dim_accounts].[office_location (NK)].[All]" allUniqueName="[Dim_accounts].[office_location (NK)].[All]" dimensionUniqueName="[Dim_accounts]" displayFolder="" count="0" memberValueDatatype="130" unbalanced="0"/>
    <cacheHierarchy uniqueName="[Dim_accounts].[subsidiary_of (NK)]" caption="subsidiary_of (NK)" attribute="1" defaultMemberUniqueName="[Dim_accounts].[subsidiary_of (NK)].[All]" allUniqueName="[Dim_accounts].[subsidiary_of (NK)].[All]" dimensionUniqueName="[Dim_accounts]" displayFolder="" count="0" memberValueDatatype="130" unbalanced="0"/>
    <cacheHierarchy uniqueName="[Dim_dates].[date (PK)]" caption="date (PK)" attribute="1" time="1" defaultMemberUniqueName="[Dim_dates].[date (PK)].[All]" allUniqueName="[Dim_dates].[date (PK)].[All]" dimensionUniqueName="[Dim_dates]" displayFolder="" count="0" memberValueDatatype="7" unbalanced="0"/>
    <cacheHierarchy uniqueName="[Dim_dates].[year (NK)]" caption="year (NK)" attribute="1" defaultMemberUniqueName="[Dim_dates].[year (NK)].[All]" allUniqueName="[Dim_dates].[year (NK)].[All]" dimensionUniqueName="[Dim_dates]" displayFolder="" count="0" memberValueDatatype="20" unbalanced="0"/>
    <cacheHierarchy uniqueName="[Dim_dates].[month_number (NK)]" caption="month_number (NK)" attribute="1" defaultMemberUniqueName="[Dim_dates].[month_number (NK)].[All]" allUniqueName="[Dim_dates].[month_number (NK)].[All]" dimensionUniqueName="[Dim_dates]" displayFolder="" count="0" memberValueDatatype="20" unbalanced="0"/>
    <cacheHierarchy uniqueName="[Dim_dates].[month (NK)]" caption="month (NK)" attribute="1" defaultMemberUniqueName="[Dim_dates].[month (NK)].[All]" allUniqueName="[Dim_dates].[month (NK)].[All]" dimensionUniqueName="[Dim_dates]" displayFolder="" count="0" memberValueDatatype="130" unbalanced="0"/>
    <cacheHierarchy uniqueName="[Dim_dates].[quarter (NK)]" caption="quarter (NK)" attribute="1" defaultMemberUniqueName="[Dim_dates].[quarter (NK)].[All]" allUniqueName="[Dim_dates].[quarter (NK)].[All]" dimensionUniqueName="[Dim_dates]" displayFolder="" count="0" memberValueDatatype="130" unbalanced="0"/>
    <cacheHierarchy uniqueName="[Dim_dates].[day (NK)]" caption="day (NK)" attribute="1" defaultMemberUniqueName="[Dim_dates].[day (NK)].[All]" allUniqueName="[Dim_dates].[day (NK)].[All]" dimensionUniqueName="[Dim_dates]" displayFolder="" count="0" memberValueDatatype="20" unbalanced="0"/>
    <cacheHierarchy uniqueName="[Dim_dates].[year_month (NK)]" caption="year_month (NK)" attribute="1" defaultMemberUniqueName="[Dim_dates].[year_month (NK)].[All]" allUniqueName="[Dim_dates].[year_month (NK)].[All]" dimensionUniqueName="[Dim_dates]" displayFolder="" count="0" memberValueDatatype="130" unbalanced="0"/>
    <cacheHierarchy uniqueName="[Dim_products].[product (PK)]" caption="product (PK)" attribute="1" defaultMemberUniqueName="[Dim_products].[product (PK)].[All]" allUniqueName="[Dim_products].[product (PK)].[All]" dimensionUniqueName="[Dim_products]" displayFolder="" count="0" memberValueDatatype="130" unbalanced="0"/>
    <cacheHierarchy uniqueName="[Dim_products].[series (NK)]" caption="series (NK)" attribute="1" defaultMemberUniqueName="[Dim_products].[series (NK)].[All]" allUniqueName="[Dim_products].[series (NK)].[All]" dimensionUniqueName="[Dim_products]" displayFolder="" count="0" memberValueDatatype="130" unbalanced="0"/>
    <cacheHierarchy uniqueName="[Dim_products].[sales_price (NK)]" caption="sales_price (NK)" attribute="1" defaultMemberUniqueName="[Dim_products].[sales_price (NK)].[All]" allUniqueName="[Dim_products].[sales_price (NK)].[All]" dimensionUniqueName="[Dim_products]" displayFolder="" count="0" memberValueDatatype="5" unbalanced="0"/>
    <cacheHierarchy uniqueName="[Dim_sales_agent].[sales_agent (PK)]" caption="sales_agent (PK)" attribute="1" defaultMemberUniqueName="[Dim_sales_agent].[sales_agent (PK)].[All]" allUniqueName="[Dim_sales_agent].[sales_agent (PK)].[All]" dimensionUniqueName="[Dim_sales_agent]" displayFolder="" count="0" memberValueDatatype="130" unbalanced="0"/>
    <cacheHierarchy uniqueName="[Dim_sales_agent].[manager (NK)]" caption="manager (NK)" attribute="1" defaultMemberUniqueName="[Dim_sales_agent].[manager (NK)].[All]" allUniqueName="[Dim_sales_agent].[manager (NK)].[All]" dimensionUniqueName="[Dim_sales_agent]" displayFolder="" count="0" memberValueDatatype="130" unbalanced="0"/>
    <cacheHierarchy uniqueName="[Dim_sales_agent].[regional_office (NK)]" caption="regional_office (NK)" attribute="1" defaultMemberUniqueName="[Dim_sales_agent].[regional_office (NK)].[All]" allUniqueName="[Dim_sales_agent].[regional_office (NK)].[All]" dimensionUniqueName="[Dim_sales_agent]" displayFolder="" count="0" memberValueDatatype="130" unbalanced="0"/>
    <cacheHierarchy uniqueName="[Fact_sales_pipeline].[opportunity_id (PK)]" caption="opportunity_id (PK)" attribute="1" defaultMemberUniqueName="[Fact_sales_pipeline].[opportunity_id (PK)].[All]" allUniqueName="[Fact_sales_pipeline].[opportunity_id (PK)].[All]" dimensionUniqueName="[Fact_sales_pipeline]" displayFolder="" count="0" memberValueDatatype="130" unbalanced="0"/>
    <cacheHierarchy uniqueName="[Fact_sales_pipeline].[sales_agent (NK)]" caption="sales_agent (NK)" attribute="1" defaultMemberUniqueName="[Fact_sales_pipeline].[sales_agent (NK)].[All]" allUniqueName="[Fact_sales_pipeline].[sales_agent (NK)].[All]" dimensionUniqueName="[Fact_sales_pipeline]" displayFolder="" count="0" memberValueDatatype="130" unbalanced="0"/>
    <cacheHierarchy uniqueName="[Fact_sales_pipeline].[product (NK)]" caption="product (NK)" attribute="1" defaultMemberUniqueName="[Fact_sales_pipeline].[product (NK)].[All]" allUniqueName="[Fact_sales_pipeline].[product (NK)].[All]" dimensionUniqueName="[Fact_sales_pipeline]" displayFolder="" count="0" memberValueDatatype="130" unbalanced="0"/>
    <cacheHierarchy uniqueName="[Fact_sales_pipeline].[account (NK)]" caption="account (NK)" attribute="1" defaultMemberUniqueName="[Fact_sales_pipeline].[account (NK)].[All]" allUniqueName="[Fact_sales_pipeline].[account (NK)].[All]" dimensionUniqueName="[Fact_sales_pipeline]" displayFolder="" count="0" memberValueDatatype="130" unbalanced="0"/>
    <cacheHierarchy uniqueName="[Fact_sales_pipeline].[deal_stage (NK)]" caption="deal_stage (NK)" attribute="1" defaultMemberUniqueName="[Fact_sales_pipeline].[deal_stage (NK)].[All]" allUniqueName="[Fact_sales_pipeline].[deal_stage (NK)].[All]" dimensionUniqueName="[Fact_sales_pipeline]" displayFolder="" count="0" memberValueDatatype="130" unbalanced="0"/>
    <cacheHierarchy uniqueName="[Fact_sales_pipeline].[engage_date (NK)]" caption="engage_date (NK)" attribute="1" time="1" defaultMemberUniqueName="[Fact_sales_pipeline].[engage_date (NK)].[All]" allUniqueName="[Fact_sales_pipeline].[engage_date (NK)].[All]" dimensionUniqueName="[Fact_sales_pipeline]" displayFolder="" count="0" memberValueDatatype="7" unbalanced="0"/>
    <cacheHierarchy uniqueName="[Fact_sales_pipeline].[close_date (NK)]" caption="close_date (NK)" attribute="1" time="1" defaultMemberUniqueName="[Fact_sales_pipeline].[close_date (NK)].[All]" allUniqueName="[Fact_sales_pipeline].[close_date (NK)].[All]" dimensionUniqueName="[Fact_sales_pipeline]" displayFolder="" count="0" memberValueDatatype="7" unbalanced="0"/>
    <cacheHierarchy uniqueName="[Fact_sales_pipeline].[close_value (NK)]" caption="close_value (NK)" attribute="1" defaultMemberUniqueName="[Fact_sales_pipeline].[close_value (NK)].[All]" allUniqueName="[Fact_sales_pipeline].[close_value (NK)].[All]" dimensionUniqueName="[Fact_sales_pipeline]" displayFolder="" count="0" memberValueDatatype="5" unbalanced="0"/>
    <cacheHierarchy uniqueName="[Fact_sales_pipeline].[deal_size]" caption="deal_size" attribute="1" defaultMemberUniqueName="[Fact_sales_pipeline].[deal_size].[All]" allUniqueName="[Fact_sales_pipeline].[deal_size].[All]" dimensionUniqueName="[Fact_sales_pipeline]" displayFolder="" count="0" memberValueDatatype="130" unbalanced="0"/>
    <cacheHierarchy uniqueName="[Measures].[Total Revenue]" caption="Total Revenue" measure="1" displayFolder="" measureGroup="Fact_sales_pipeline" count="0" oneField="1">
      <fieldsUsage count="1">
        <fieldUsage x="1"/>
      </fieldsUsage>
    </cacheHierarchy>
    <cacheHierarchy uniqueName="[Measures].[Total Deals]" caption="Total Deals" measure="1" displayFolder="" measureGroup="Fact_sales_pipeline" count="0"/>
    <cacheHierarchy uniqueName="[Measures].[Won Deals]" caption="Won Deals" measure="1" displayFolder="" measureGroup="Fact_sales_pipeline" count="0"/>
    <cacheHierarchy uniqueName="[Measures].[Win Rate]" caption="Win Rate" measure="1" displayFolder="" measureGroup="Fact_sales_pipeline" count="0"/>
    <cacheHierarchy uniqueName="[Measures].[Avg Deal Size]" caption="Avg Deal Size" measure="1" displayFolder="" measureGroup="Fact_sales_pipeline" count="0"/>
    <cacheHierarchy uniqueName="[Measures].[__XL_Count Fact_sales_pipeline]" caption="__XL_Count Fact_sales_pipeline" measure="1" displayFolder="" measureGroup="Fact_sales_pipeline" count="0" hidden="1"/>
    <cacheHierarchy uniqueName="[Measures].[__XL_Count Dim_sales_agent]" caption="__XL_Count Dim_sales_agent" measure="1" displayFolder="" measureGroup="Dim_sales_agent" count="0" hidden="1"/>
    <cacheHierarchy uniqueName="[Measures].[__XL_Count Dim_products]" caption="__XL_Count Dim_products" measure="1" displayFolder="" measureGroup="Dim_products" count="0" hidden="1"/>
    <cacheHierarchy uniqueName="[Measures].[__XL_Count Dim_accounts]" caption="__XL_Count Dim_accounts" measure="1" displayFolder="" measureGroup="Dim_accounts" count="0" hidden="1"/>
    <cacheHierarchy uniqueName="[Measures].[__XL_Count Dim_dates]" caption="__XL_Count Dim_dates" measure="1" displayFolder="" measureGroup="Dim_dates" count="0" hidden="1"/>
    <cacheHierarchy uniqueName="[Measures].[__No measures defined]" caption="__No measures defined" measure="1" displayFolder="" count="0" hidden="1"/>
  </cacheHierarchies>
  <kpis count="0"/>
  <dimensions count="6">
    <dimension name="Dim_accounts" uniqueName="[Dim_accounts]" caption="Dim_accounts"/>
    <dimension name="Dim_dates" uniqueName="[Dim_dates]" caption="Dim_dates"/>
    <dimension name="Dim_products" uniqueName="[Dim_products]" caption="Dim_products"/>
    <dimension name="Dim_sales_agent" uniqueName="[Dim_sales_agent]" caption="Dim_sales_agent"/>
    <dimension name="Fact_sales_pipeline" uniqueName="[Fact_sales_pipeline]" caption="Fact_sales_pipeline"/>
    <dimension measure="1" name="Measures" uniqueName="[Measures]" caption="Measures"/>
  </dimensions>
  <measureGroups count="5">
    <measureGroup name="Dim_accounts" caption="Dim_accounts"/>
    <measureGroup name="Dim_dates" caption="Dim_dates"/>
    <measureGroup name="Dim_products" caption="Dim_products"/>
    <measureGroup name="Dim_sales_agent" caption="Dim_sales_agent"/>
    <measureGroup name="Fact_sales_pipeline" caption="Fact_sales_pipeline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an Manuel García Ramírez" refreshedDate="46099.739299537039" backgroundQuery="1" createdVersion="7" refreshedVersion="7" minRefreshableVersion="3" recordCount="0" supportSubquery="1" supportAdvancedDrill="1" xr:uid="{B074D8EA-285F-4023-8761-2E1B4B659A04}">
  <cacheSource type="external" connectionId="7"/>
  <cacheFields count="2">
    <cacheField name="[Dim_products].[product (PK)].[product (PK)]" caption="product (PK)" numFmtId="0" hierarchy="14" level="1">
      <sharedItems count="7">
        <s v="GTK 500"/>
        <s v="GTX Basic"/>
        <s v="GTX Plus Basic"/>
        <s v="GTX Plus Pro"/>
        <s v="GTX Pro"/>
        <s v="MG Advanced"/>
        <s v="MG Special"/>
      </sharedItems>
    </cacheField>
    <cacheField name="[Measures].[Total Revenue]" caption="Total Revenue" numFmtId="0" hierarchy="29" level="32767"/>
  </cacheFields>
  <cacheHierarchies count="40">
    <cacheHierarchy uniqueName="[Dim_accounts].[account (PK)]" caption="account (PK)" attribute="1" defaultMemberUniqueName="[Dim_accounts].[account (PK)].[All]" allUniqueName="[Dim_accounts].[account (PK)].[All]" dimensionUniqueName="[Dim_accounts]" displayFolder="" count="0" memberValueDatatype="130" unbalanced="0"/>
    <cacheHierarchy uniqueName="[Dim_accounts].[sector (NK)]" caption="sector (NK)" attribute="1" defaultMemberUniqueName="[Dim_accounts].[sector (NK)].[All]" allUniqueName="[Dim_accounts].[sector (NK)].[All]" dimensionUniqueName="[Dim_accounts]" displayFolder="" count="0" memberValueDatatype="130" unbalanced="0"/>
    <cacheHierarchy uniqueName="[Dim_accounts].[year_established (NK)]" caption="year_established (NK)" attribute="1" defaultMemberUniqueName="[Dim_accounts].[year_established (NK)].[All]" allUniqueName="[Dim_accounts].[year_established (NK)].[All]" dimensionUniqueName="[Dim_accounts]" displayFolder="" count="0" memberValueDatatype="20" unbalanced="0"/>
    <cacheHierarchy uniqueName="[Dim_accounts].[revenue (NK)]" caption="revenue (NK)" attribute="1" defaultMemberUniqueName="[Dim_accounts].[revenue (NK)].[All]" allUniqueName="[Dim_accounts].[revenue (NK)].[All]" dimensionUniqueName="[Dim_accounts]" displayFolder="" count="0" memberValueDatatype="5" unbalanced="0"/>
    <cacheHierarchy uniqueName="[Dim_accounts].[employees (NK)]" caption="employees (NK)" attribute="1" defaultMemberUniqueName="[Dim_accounts].[employees (NK)].[All]" allUniqueName="[Dim_accounts].[employees (NK)].[All]" dimensionUniqueName="[Dim_accounts]" displayFolder="" count="0" memberValueDatatype="20" unbalanced="0"/>
    <cacheHierarchy uniqueName="[Dim_accounts].[office_location (NK)]" caption="office_location (NK)" attribute="1" defaultMemberUniqueName="[Dim_accounts].[office_location (NK)].[All]" allUniqueName="[Dim_accounts].[office_location (NK)].[All]" dimensionUniqueName="[Dim_accounts]" displayFolder="" count="0" memberValueDatatype="130" unbalanced="0"/>
    <cacheHierarchy uniqueName="[Dim_accounts].[subsidiary_of (NK)]" caption="subsidiary_of (NK)" attribute="1" defaultMemberUniqueName="[Dim_accounts].[subsidiary_of (NK)].[All]" allUniqueName="[Dim_accounts].[subsidiary_of (NK)].[All]" dimensionUniqueName="[Dim_accounts]" displayFolder="" count="0" memberValueDatatype="130" unbalanced="0"/>
    <cacheHierarchy uniqueName="[Dim_dates].[date (PK)]" caption="date (PK)" attribute="1" time="1" defaultMemberUniqueName="[Dim_dates].[date (PK)].[All]" allUniqueName="[Dim_dates].[date (PK)].[All]" dimensionUniqueName="[Dim_dates]" displayFolder="" count="0" memberValueDatatype="7" unbalanced="0"/>
    <cacheHierarchy uniqueName="[Dim_dates].[year (NK)]" caption="year (NK)" attribute="1" defaultMemberUniqueName="[Dim_dates].[year (NK)].[All]" allUniqueName="[Dim_dates].[year (NK)].[All]" dimensionUniqueName="[Dim_dates]" displayFolder="" count="0" memberValueDatatype="20" unbalanced="0"/>
    <cacheHierarchy uniqueName="[Dim_dates].[month_number (NK)]" caption="month_number (NK)" attribute="1" defaultMemberUniqueName="[Dim_dates].[month_number (NK)].[All]" allUniqueName="[Dim_dates].[month_number (NK)].[All]" dimensionUniqueName="[Dim_dates]" displayFolder="" count="0" memberValueDatatype="20" unbalanced="0"/>
    <cacheHierarchy uniqueName="[Dim_dates].[month (NK)]" caption="month (NK)" attribute="1" defaultMemberUniqueName="[Dim_dates].[month (NK)].[All]" allUniqueName="[Dim_dates].[month (NK)].[All]" dimensionUniqueName="[Dim_dates]" displayFolder="" count="0" memberValueDatatype="130" unbalanced="0"/>
    <cacheHierarchy uniqueName="[Dim_dates].[quarter (NK)]" caption="quarter (NK)" attribute="1" defaultMemberUniqueName="[Dim_dates].[quarter (NK)].[All]" allUniqueName="[Dim_dates].[quarter (NK)].[All]" dimensionUniqueName="[Dim_dates]" displayFolder="" count="0" memberValueDatatype="130" unbalanced="0"/>
    <cacheHierarchy uniqueName="[Dim_dates].[day (NK)]" caption="day (NK)" attribute="1" defaultMemberUniqueName="[Dim_dates].[day (NK)].[All]" allUniqueName="[Dim_dates].[day (NK)].[All]" dimensionUniqueName="[Dim_dates]" displayFolder="" count="0" memberValueDatatype="20" unbalanced="0"/>
    <cacheHierarchy uniqueName="[Dim_dates].[year_month (NK)]" caption="year_month (NK)" attribute="1" defaultMemberUniqueName="[Dim_dates].[year_month (NK)].[All]" allUniqueName="[Dim_dates].[year_month (NK)].[All]" dimensionUniqueName="[Dim_dates]" displayFolder="" count="0" memberValueDatatype="130" unbalanced="0"/>
    <cacheHierarchy uniqueName="[Dim_products].[product (PK)]" caption="product (PK)" attribute="1" defaultMemberUniqueName="[Dim_products].[product (PK)].[All]" allUniqueName="[Dim_products].[product (PK)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products].[series (NK)]" caption="series (NK)" attribute="1" defaultMemberUniqueName="[Dim_products].[series (NK)].[All]" allUniqueName="[Dim_products].[series (NK)].[All]" dimensionUniqueName="[Dim_products]" displayFolder="" count="0" memberValueDatatype="130" unbalanced="0"/>
    <cacheHierarchy uniqueName="[Dim_products].[sales_price (NK)]" caption="sales_price (NK)" attribute="1" defaultMemberUniqueName="[Dim_products].[sales_price (NK)].[All]" allUniqueName="[Dim_products].[sales_price (NK)].[All]" dimensionUniqueName="[Dim_products]" displayFolder="" count="0" memberValueDatatype="5" unbalanced="0"/>
    <cacheHierarchy uniqueName="[Dim_sales_agent].[sales_agent (PK)]" caption="sales_agent (PK)" attribute="1" defaultMemberUniqueName="[Dim_sales_agent].[sales_agent (PK)].[All]" allUniqueName="[Dim_sales_agent].[sales_agent (PK)].[All]" dimensionUniqueName="[Dim_sales_agent]" displayFolder="" count="0" memberValueDatatype="130" unbalanced="0"/>
    <cacheHierarchy uniqueName="[Dim_sales_agent].[manager (NK)]" caption="manager (NK)" attribute="1" defaultMemberUniqueName="[Dim_sales_agent].[manager (NK)].[All]" allUniqueName="[Dim_sales_agent].[manager (NK)].[All]" dimensionUniqueName="[Dim_sales_agent]" displayFolder="" count="0" memberValueDatatype="130" unbalanced="0"/>
    <cacheHierarchy uniqueName="[Dim_sales_agent].[regional_office (NK)]" caption="regional_office (NK)" attribute="1" defaultMemberUniqueName="[Dim_sales_agent].[regional_office (NK)].[All]" allUniqueName="[Dim_sales_agent].[regional_office (NK)].[All]" dimensionUniqueName="[Dim_sales_agent]" displayFolder="" count="0" memberValueDatatype="130" unbalanced="0"/>
    <cacheHierarchy uniqueName="[Fact_sales_pipeline].[opportunity_id (PK)]" caption="opportunity_id (PK)" attribute="1" defaultMemberUniqueName="[Fact_sales_pipeline].[opportunity_id (PK)].[All]" allUniqueName="[Fact_sales_pipeline].[opportunity_id (PK)].[All]" dimensionUniqueName="[Fact_sales_pipeline]" displayFolder="" count="0" memberValueDatatype="130" unbalanced="0"/>
    <cacheHierarchy uniqueName="[Fact_sales_pipeline].[sales_agent (NK)]" caption="sales_agent (NK)" attribute="1" defaultMemberUniqueName="[Fact_sales_pipeline].[sales_agent (NK)].[All]" allUniqueName="[Fact_sales_pipeline].[sales_agent (NK)].[All]" dimensionUniqueName="[Fact_sales_pipeline]" displayFolder="" count="0" memberValueDatatype="130" unbalanced="0"/>
    <cacheHierarchy uniqueName="[Fact_sales_pipeline].[product (NK)]" caption="product (NK)" attribute="1" defaultMemberUniqueName="[Fact_sales_pipeline].[product (NK)].[All]" allUniqueName="[Fact_sales_pipeline].[product (NK)].[All]" dimensionUniqueName="[Fact_sales_pipeline]" displayFolder="" count="0" memberValueDatatype="130" unbalanced="0"/>
    <cacheHierarchy uniqueName="[Fact_sales_pipeline].[account (NK)]" caption="account (NK)" attribute="1" defaultMemberUniqueName="[Fact_sales_pipeline].[account (NK)].[All]" allUniqueName="[Fact_sales_pipeline].[account (NK)].[All]" dimensionUniqueName="[Fact_sales_pipeline]" displayFolder="" count="0" memberValueDatatype="130" unbalanced="0"/>
    <cacheHierarchy uniqueName="[Fact_sales_pipeline].[deal_stage (NK)]" caption="deal_stage (NK)" attribute="1" defaultMemberUniqueName="[Fact_sales_pipeline].[deal_stage (NK)].[All]" allUniqueName="[Fact_sales_pipeline].[deal_stage (NK)].[All]" dimensionUniqueName="[Fact_sales_pipeline]" displayFolder="" count="0" memberValueDatatype="130" unbalanced="0"/>
    <cacheHierarchy uniqueName="[Fact_sales_pipeline].[engage_date (NK)]" caption="engage_date (NK)" attribute="1" time="1" defaultMemberUniqueName="[Fact_sales_pipeline].[engage_date (NK)].[All]" allUniqueName="[Fact_sales_pipeline].[engage_date (NK)].[All]" dimensionUniqueName="[Fact_sales_pipeline]" displayFolder="" count="0" memberValueDatatype="7" unbalanced="0"/>
    <cacheHierarchy uniqueName="[Fact_sales_pipeline].[close_date (NK)]" caption="close_date (NK)" attribute="1" time="1" defaultMemberUniqueName="[Fact_sales_pipeline].[close_date (NK)].[All]" allUniqueName="[Fact_sales_pipeline].[close_date (NK)].[All]" dimensionUniqueName="[Fact_sales_pipeline]" displayFolder="" count="0" memberValueDatatype="7" unbalanced="0"/>
    <cacheHierarchy uniqueName="[Fact_sales_pipeline].[close_value (NK)]" caption="close_value (NK)" attribute="1" defaultMemberUniqueName="[Fact_sales_pipeline].[close_value (NK)].[All]" allUniqueName="[Fact_sales_pipeline].[close_value (NK)].[All]" dimensionUniqueName="[Fact_sales_pipeline]" displayFolder="" count="0" memberValueDatatype="5" unbalanced="0"/>
    <cacheHierarchy uniqueName="[Fact_sales_pipeline].[deal_size]" caption="deal_size" attribute="1" defaultMemberUniqueName="[Fact_sales_pipeline].[deal_size].[All]" allUniqueName="[Fact_sales_pipeline].[deal_size].[All]" dimensionUniqueName="[Fact_sales_pipeline]" displayFolder="" count="0" memberValueDatatype="130" unbalanced="0"/>
    <cacheHierarchy uniqueName="[Measures].[Total Revenue]" caption="Total Revenue" measure="1" displayFolder="" measureGroup="Fact_sales_pipeline" count="0" oneField="1">
      <fieldsUsage count="1">
        <fieldUsage x="1"/>
      </fieldsUsage>
    </cacheHierarchy>
    <cacheHierarchy uniqueName="[Measures].[Total Deals]" caption="Total Deals" measure="1" displayFolder="" measureGroup="Fact_sales_pipeline" count="0"/>
    <cacheHierarchy uniqueName="[Measures].[Won Deals]" caption="Won Deals" measure="1" displayFolder="" measureGroup="Fact_sales_pipeline" count="0"/>
    <cacheHierarchy uniqueName="[Measures].[Win Rate]" caption="Win Rate" measure="1" displayFolder="" measureGroup="Fact_sales_pipeline" count="0"/>
    <cacheHierarchy uniqueName="[Measures].[Avg Deal Size]" caption="Avg Deal Size" measure="1" displayFolder="" measureGroup="Fact_sales_pipeline" count="0"/>
    <cacheHierarchy uniqueName="[Measures].[__XL_Count Fact_sales_pipeline]" caption="__XL_Count Fact_sales_pipeline" measure="1" displayFolder="" measureGroup="Fact_sales_pipeline" count="0" hidden="1"/>
    <cacheHierarchy uniqueName="[Measures].[__XL_Count Dim_sales_agent]" caption="__XL_Count Dim_sales_agent" measure="1" displayFolder="" measureGroup="Dim_sales_agent" count="0" hidden="1"/>
    <cacheHierarchy uniqueName="[Measures].[__XL_Count Dim_products]" caption="__XL_Count Dim_products" measure="1" displayFolder="" measureGroup="Dim_products" count="0" hidden="1"/>
    <cacheHierarchy uniqueName="[Measures].[__XL_Count Dim_accounts]" caption="__XL_Count Dim_accounts" measure="1" displayFolder="" measureGroup="Dim_accounts" count="0" hidden="1"/>
    <cacheHierarchy uniqueName="[Measures].[__XL_Count Dim_dates]" caption="__XL_Count Dim_dates" measure="1" displayFolder="" measureGroup="Dim_dates" count="0" hidden="1"/>
    <cacheHierarchy uniqueName="[Measures].[__No measures defined]" caption="__No measures defined" measure="1" displayFolder="" count="0" hidden="1"/>
  </cacheHierarchies>
  <kpis count="0"/>
  <dimensions count="6">
    <dimension name="Dim_accounts" uniqueName="[Dim_accounts]" caption="Dim_accounts"/>
    <dimension name="Dim_dates" uniqueName="[Dim_dates]" caption="Dim_dates"/>
    <dimension name="Dim_products" uniqueName="[Dim_products]" caption="Dim_products"/>
    <dimension name="Dim_sales_agent" uniqueName="[Dim_sales_agent]" caption="Dim_sales_agent"/>
    <dimension name="Fact_sales_pipeline" uniqueName="[Fact_sales_pipeline]" caption="Fact_sales_pipeline"/>
    <dimension measure="1" name="Measures" uniqueName="[Measures]" caption="Measures"/>
  </dimensions>
  <measureGroups count="5">
    <measureGroup name="Dim_accounts" caption="Dim_accounts"/>
    <measureGroup name="Dim_dates" caption="Dim_dates"/>
    <measureGroup name="Dim_products" caption="Dim_products"/>
    <measureGroup name="Dim_sales_agent" caption="Dim_sales_agent"/>
    <measureGroup name="Fact_sales_pipeline" caption="Fact_sales_pipeline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an Manuel García Ramírez" refreshedDate="46099.74021689815" backgroundQuery="1" createdVersion="7" refreshedVersion="7" minRefreshableVersion="3" recordCount="0" supportSubquery="1" supportAdvancedDrill="1" xr:uid="{6CEF9B73-EAB6-49C2-A268-EBCF7A401E87}">
  <cacheSource type="external" connectionId="7"/>
  <cacheFields count="3">
    <cacheField name="[Fact_sales_pipeline].[deal_size].[deal_size]" caption="deal_size" numFmtId="0" hierarchy="28" level="1">
      <sharedItems count="3">
        <s v="Large"/>
        <s v="Small"/>
        <s v="Unknown"/>
      </sharedItems>
    </cacheField>
    <cacheField name="[Measures].[Win Rate]" caption="Win Rate" numFmtId="0" hierarchy="32" level="32767"/>
    <cacheField name="[Measures].[Total Deals]" caption="Total Deals" numFmtId="0" hierarchy="30" level="32767"/>
  </cacheFields>
  <cacheHierarchies count="40">
    <cacheHierarchy uniqueName="[Dim_accounts].[account (PK)]" caption="account (PK)" attribute="1" defaultMemberUniqueName="[Dim_accounts].[account (PK)].[All]" allUniqueName="[Dim_accounts].[account (PK)].[All]" dimensionUniqueName="[Dim_accounts]" displayFolder="" count="0" memberValueDatatype="130" unbalanced="0"/>
    <cacheHierarchy uniqueName="[Dim_accounts].[sector (NK)]" caption="sector (NK)" attribute="1" defaultMemberUniqueName="[Dim_accounts].[sector (NK)].[All]" allUniqueName="[Dim_accounts].[sector (NK)].[All]" dimensionUniqueName="[Dim_accounts]" displayFolder="" count="0" memberValueDatatype="130" unbalanced="0"/>
    <cacheHierarchy uniqueName="[Dim_accounts].[year_established (NK)]" caption="year_established (NK)" attribute="1" defaultMemberUniqueName="[Dim_accounts].[year_established (NK)].[All]" allUniqueName="[Dim_accounts].[year_established (NK)].[All]" dimensionUniqueName="[Dim_accounts]" displayFolder="" count="0" memberValueDatatype="20" unbalanced="0"/>
    <cacheHierarchy uniqueName="[Dim_accounts].[revenue (NK)]" caption="revenue (NK)" attribute="1" defaultMemberUniqueName="[Dim_accounts].[revenue (NK)].[All]" allUniqueName="[Dim_accounts].[revenue (NK)].[All]" dimensionUniqueName="[Dim_accounts]" displayFolder="" count="0" memberValueDatatype="5" unbalanced="0"/>
    <cacheHierarchy uniqueName="[Dim_accounts].[employees (NK)]" caption="employees (NK)" attribute="1" defaultMemberUniqueName="[Dim_accounts].[employees (NK)].[All]" allUniqueName="[Dim_accounts].[employees (NK)].[All]" dimensionUniqueName="[Dim_accounts]" displayFolder="" count="0" memberValueDatatype="20" unbalanced="0"/>
    <cacheHierarchy uniqueName="[Dim_accounts].[office_location (NK)]" caption="office_location (NK)" attribute="1" defaultMemberUniqueName="[Dim_accounts].[office_location (NK)].[All]" allUniqueName="[Dim_accounts].[office_location (NK)].[All]" dimensionUniqueName="[Dim_accounts]" displayFolder="" count="0" memberValueDatatype="130" unbalanced="0"/>
    <cacheHierarchy uniqueName="[Dim_accounts].[subsidiary_of (NK)]" caption="subsidiary_of (NK)" attribute="1" defaultMemberUniqueName="[Dim_accounts].[subsidiary_of (NK)].[All]" allUniqueName="[Dim_accounts].[subsidiary_of (NK)].[All]" dimensionUniqueName="[Dim_accounts]" displayFolder="" count="0" memberValueDatatype="130" unbalanced="0"/>
    <cacheHierarchy uniqueName="[Dim_dates].[date (PK)]" caption="date (PK)" attribute="1" time="1" defaultMemberUniqueName="[Dim_dates].[date (PK)].[All]" allUniqueName="[Dim_dates].[date (PK)].[All]" dimensionUniqueName="[Dim_dates]" displayFolder="" count="0" memberValueDatatype="7" unbalanced="0"/>
    <cacheHierarchy uniqueName="[Dim_dates].[year (NK)]" caption="year (NK)" attribute="1" defaultMemberUniqueName="[Dim_dates].[year (NK)].[All]" allUniqueName="[Dim_dates].[year (NK)].[All]" dimensionUniqueName="[Dim_dates]" displayFolder="" count="0" memberValueDatatype="20" unbalanced="0"/>
    <cacheHierarchy uniqueName="[Dim_dates].[month_number (NK)]" caption="month_number (NK)" attribute="1" defaultMemberUniqueName="[Dim_dates].[month_number (NK)].[All]" allUniqueName="[Dim_dates].[month_number (NK)].[All]" dimensionUniqueName="[Dim_dates]" displayFolder="" count="0" memberValueDatatype="20" unbalanced="0"/>
    <cacheHierarchy uniqueName="[Dim_dates].[month (NK)]" caption="month (NK)" attribute="1" defaultMemberUniqueName="[Dim_dates].[month (NK)].[All]" allUniqueName="[Dim_dates].[month (NK)].[All]" dimensionUniqueName="[Dim_dates]" displayFolder="" count="0" memberValueDatatype="130" unbalanced="0"/>
    <cacheHierarchy uniqueName="[Dim_dates].[quarter (NK)]" caption="quarter (NK)" attribute="1" defaultMemberUniqueName="[Dim_dates].[quarter (NK)].[All]" allUniqueName="[Dim_dates].[quarter (NK)].[All]" dimensionUniqueName="[Dim_dates]" displayFolder="" count="0" memberValueDatatype="130" unbalanced="0"/>
    <cacheHierarchy uniqueName="[Dim_dates].[day (NK)]" caption="day (NK)" attribute="1" defaultMemberUniqueName="[Dim_dates].[day (NK)].[All]" allUniqueName="[Dim_dates].[day (NK)].[All]" dimensionUniqueName="[Dim_dates]" displayFolder="" count="0" memberValueDatatype="20" unbalanced="0"/>
    <cacheHierarchy uniqueName="[Dim_dates].[year_month (NK)]" caption="year_month (NK)" attribute="1" defaultMemberUniqueName="[Dim_dates].[year_month (NK)].[All]" allUniqueName="[Dim_dates].[year_month (NK)].[All]" dimensionUniqueName="[Dim_dates]" displayFolder="" count="0" memberValueDatatype="130" unbalanced="0"/>
    <cacheHierarchy uniqueName="[Dim_products].[product (PK)]" caption="product (PK)" attribute="1" defaultMemberUniqueName="[Dim_products].[product (PK)].[All]" allUniqueName="[Dim_products].[product (PK)].[All]" dimensionUniqueName="[Dim_products]" displayFolder="" count="0" memberValueDatatype="130" unbalanced="0"/>
    <cacheHierarchy uniqueName="[Dim_products].[series (NK)]" caption="series (NK)" attribute="1" defaultMemberUniqueName="[Dim_products].[series (NK)].[All]" allUniqueName="[Dim_products].[series (NK)].[All]" dimensionUniqueName="[Dim_products]" displayFolder="" count="0" memberValueDatatype="130" unbalanced="0"/>
    <cacheHierarchy uniqueName="[Dim_products].[sales_price (NK)]" caption="sales_price (NK)" attribute="1" defaultMemberUniqueName="[Dim_products].[sales_price (NK)].[All]" allUniqueName="[Dim_products].[sales_price (NK)].[All]" dimensionUniqueName="[Dim_products]" displayFolder="" count="0" memberValueDatatype="5" unbalanced="0"/>
    <cacheHierarchy uniqueName="[Dim_sales_agent].[sales_agent (PK)]" caption="sales_agent (PK)" attribute="1" defaultMemberUniqueName="[Dim_sales_agent].[sales_agent (PK)].[All]" allUniqueName="[Dim_sales_agent].[sales_agent (PK)].[All]" dimensionUniqueName="[Dim_sales_agent]" displayFolder="" count="0" memberValueDatatype="130" unbalanced="0"/>
    <cacheHierarchy uniqueName="[Dim_sales_agent].[manager (NK)]" caption="manager (NK)" attribute="1" defaultMemberUniqueName="[Dim_sales_agent].[manager (NK)].[All]" allUniqueName="[Dim_sales_agent].[manager (NK)].[All]" dimensionUniqueName="[Dim_sales_agent]" displayFolder="" count="0" memberValueDatatype="130" unbalanced="0"/>
    <cacheHierarchy uniqueName="[Dim_sales_agent].[regional_office (NK)]" caption="regional_office (NK)" attribute="1" defaultMemberUniqueName="[Dim_sales_agent].[regional_office (NK)].[All]" allUniqueName="[Dim_sales_agent].[regional_office (NK)].[All]" dimensionUniqueName="[Dim_sales_agent]" displayFolder="" count="0" memberValueDatatype="130" unbalanced="0"/>
    <cacheHierarchy uniqueName="[Fact_sales_pipeline].[opportunity_id (PK)]" caption="opportunity_id (PK)" attribute="1" defaultMemberUniqueName="[Fact_sales_pipeline].[opportunity_id (PK)].[All]" allUniqueName="[Fact_sales_pipeline].[opportunity_id (PK)].[All]" dimensionUniqueName="[Fact_sales_pipeline]" displayFolder="" count="0" memberValueDatatype="130" unbalanced="0"/>
    <cacheHierarchy uniqueName="[Fact_sales_pipeline].[sales_agent (NK)]" caption="sales_agent (NK)" attribute="1" defaultMemberUniqueName="[Fact_sales_pipeline].[sales_agent (NK)].[All]" allUniqueName="[Fact_sales_pipeline].[sales_agent (NK)].[All]" dimensionUniqueName="[Fact_sales_pipeline]" displayFolder="" count="0" memberValueDatatype="130" unbalanced="0"/>
    <cacheHierarchy uniqueName="[Fact_sales_pipeline].[product (NK)]" caption="product (NK)" attribute="1" defaultMemberUniqueName="[Fact_sales_pipeline].[product (NK)].[All]" allUniqueName="[Fact_sales_pipeline].[product (NK)].[All]" dimensionUniqueName="[Fact_sales_pipeline]" displayFolder="" count="0" memberValueDatatype="130" unbalanced="0"/>
    <cacheHierarchy uniqueName="[Fact_sales_pipeline].[account (NK)]" caption="account (NK)" attribute="1" defaultMemberUniqueName="[Fact_sales_pipeline].[account (NK)].[All]" allUniqueName="[Fact_sales_pipeline].[account (NK)].[All]" dimensionUniqueName="[Fact_sales_pipeline]" displayFolder="" count="0" memberValueDatatype="130" unbalanced="0"/>
    <cacheHierarchy uniqueName="[Fact_sales_pipeline].[deal_stage (NK)]" caption="deal_stage (NK)" attribute="1" defaultMemberUniqueName="[Fact_sales_pipeline].[deal_stage (NK)].[All]" allUniqueName="[Fact_sales_pipeline].[deal_stage (NK)].[All]" dimensionUniqueName="[Fact_sales_pipeline]" displayFolder="" count="0" memberValueDatatype="130" unbalanced="0"/>
    <cacheHierarchy uniqueName="[Fact_sales_pipeline].[engage_date (NK)]" caption="engage_date (NK)" attribute="1" time="1" defaultMemberUniqueName="[Fact_sales_pipeline].[engage_date (NK)].[All]" allUniqueName="[Fact_sales_pipeline].[engage_date (NK)].[All]" dimensionUniqueName="[Fact_sales_pipeline]" displayFolder="" count="0" memberValueDatatype="7" unbalanced="0"/>
    <cacheHierarchy uniqueName="[Fact_sales_pipeline].[close_date (NK)]" caption="close_date (NK)" attribute="1" time="1" defaultMemberUniqueName="[Fact_sales_pipeline].[close_date (NK)].[All]" allUniqueName="[Fact_sales_pipeline].[close_date (NK)].[All]" dimensionUniqueName="[Fact_sales_pipeline]" displayFolder="" count="0" memberValueDatatype="7" unbalanced="0"/>
    <cacheHierarchy uniqueName="[Fact_sales_pipeline].[close_value (NK)]" caption="close_value (NK)" attribute="1" defaultMemberUniqueName="[Fact_sales_pipeline].[close_value (NK)].[All]" allUniqueName="[Fact_sales_pipeline].[close_value (NK)].[All]" dimensionUniqueName="[Fact_sales_pipeline]" displayFolder="" count="0" memberValueDatatype="5" unbalanced="0"/>
    <cacheHierarchy uniqueName="[Fact_sales_pipeline].[deal_size]" caption="deal_size" attribute="1" defaultMemberUniqueName="[Fact_sales_pipeline].[deal_size].[All]" allUniqueName="[Fact_sales_pipeline].[deal_size].[All]" dimensionUniqueName="[Fact_sales_pipeline]" displayFolder="" count="2" memberValueDatatype="130" unbalanced="0">
      <fieldsUsage count="2">
        <fieldUsage x="-1"/>
        <fieldUsage x="0"/>
      </fieldsUsage>
    </cacheHierarchy>
    <cacheHierarchy uniqueName="[Measures].[Total Revenue]" caption="Total Revenue" measure="1" displayFolder="" measureGroup="Fact_sales_pipeline" count="0"/>
    <cacheHierarchy uniqueName="[Measures].[Total Deals]" caption="Total Deals" measure="1" displayFolder="" measureGroup="Fact_sales_pipeline" count="0" oneField="1">
      <fieldsUsage count="1">
        <fieldUsage x="2"/>
      </fieldsUsage>
    </cacheHierarchy>
    <cacheHierarchy uniqueName="[Measures].[Won Deals]" caption="Won Deals" measure="1" displayFolder="" measureGroup="Fact_sales_pipeline" count="0"/>
    <cacheHierarchy uniqueName="[Measures].[Win Rate]" caption="Win Rate" measure="1" displayFolder="" measureGroup="Fact_sales_pipeline" count="0" oneField="1">
      <fieldsUsage count="1">
        <fieldUsage x="1"/>
      </fieldsUsage>
    </cacheHierarchy>
    <cacheHierarchy uniqueName="[Measures].[Avg Deal Size]" caption="Avg Deal Size" measure="1" displayFolder="" measureGroup="Fact_sales_pipeline" count="0"/>
    <cacheHierarchy uniqueName="[Measures].[__XL_Count Fact_sales_pipeline]" caption="__XL_Count Fact_sales_pipeline" measure="1" displayFolder="" measureGroup="Fact_sales_pipeline" count="0" hidden="1"/>
    <cacheHierarchy uniqueName="[Measures].[__XL_Count Dim_sales_agent]" caption="__XL_Count Dim_sales_agent" measure="1" displayFolder="" measureGroup="Dim_sales_agent" count="0" hidden="1"/>
    <cacheHierarchy uniqueName="[Measures].[__XL_Count Dim_products]" caption="__XL_Count Dim_products" measure="1" displayFolder="" measureGroup="Dim_products" count="0" hidden="1"/>
    <cacheHierarchy uniqueName="[Measures].[__XL_Count Dim_accounts]" caption="__XL_Count Dim_accounts" measure="1" displayFolder="" measureGroup="Dim_accounts" count="0" hidden="1"/>
    <cacheHierarchy uniqueName="[Measures].[__XL_Count Dim_dates]" caption="__XL_Count Dim_dates" measure="1" displayFolder="" measureGroup="Dim_dates" count="0" hidden="1"/>
    <cacheHierarchy uniqueName="[Measures].[__No measures defined]" caption="__No measures defined" measure="1" displayFolder="" count="0" hidden="1"/>
  </cacheHierarchies>
  <kpis count="0"/>
  <dimensions count="6">
    <dimension name="Dim_accounts" uniqueName="[Dim_accounts]" caption="Dim_accounts"/>
    <dimension name="Dim_dates" uniqueName="[Dim_dates]" caption="Dim_dates"/>
    <dimension name="Dim_products" uniqueName="[Dim_products]" caption="Dim_products"/>
    <dimension name="Dim_sales_agent" uniqueName="[Dim_sales_agent]" caption="Dim_sales_agent"/>
    <dimension name="Fact_sales_pipeline" uniqueName="[Fact_sales_pipeline]" caption="Fact_sales_pipeline"/>
    <dimension measure="1" name="Measures" uniqueName="[Measures]" caption="Measures"/>
  </dimensions>
  <measureGroups count="5">
    <measureGroup name="Dim_accounts" caption="Dim_accounts"/>
    <measureGroup name="Dim_dates" caption="Dim_dates"/>
    <measureGroup name="Dim_products" caption="Dim_products"/>
    <measureGroup name="Dim_sales_agent" caption="Dim_sales_agent"/>
    <measureGroup name="Fact_sales_pipeline" caption="Fact_sales_pipeline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21C3A2-FD36-461A-A5D3-ECB7F1738007}" name="TablaDinámica1" cacheId="66" applyNumberFormats="0" applyBorderFormats="0" applyFontFormats="0" applyPatternFormats="0" applyAlignmentFormats="0" applyWidthHeightFormats="1" dataCaption="Valores" tag="9d71020d-e1fa-4a78-8df1-05f7531477b6" updatedVersion="7" minRefreshableVersion="3" useAutoFormatting="1" itemPrintTitles="1" createdVersion="7" indent="0" outline="1" outlineData="1" multipleFieldFilters="0" chartFormat="1" rowHeaderCaption="Revenue Por Producto">
  <location ref="A1:B9" firstHeaderRow="1" firstDataRow="1" firstDataCol="1"/>
  <pivotFields count="2">
    <pivotField axis="axisRow" allDrilled="1" subtotalTop="0" showAll="0" sortType="descending" defaultSubtotal="0" defaultAttributeDrillState="1">
      <items count="7">
        <item x="6"/>
        <item x="5"/>
        <item x="4"/>
        <item x="3"/>
        <item x="2"/>
        <item x="1"/>
        <item x="0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sales_pipelin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2B7959-B1EF-400A-B448-03FAE6BAE104}" name="TablaDinámica3" cacheId="57" applyNumberFormats="0" applyBorderFormats="0" applyFontFormats="0" applyPatternFormats="0" applyAlignmentFormats="0" applyWidthHeightFormats="1" dataCaption="Valores" tag="ff31406f-0cee-488f-af3c-161808400bf5" updatedVersion="7" minRefreshableVersion="3" useAutoFormatting="1" itemPrintTitles="1" createdVersion="7" indent="0" outline="1" outlineData="1" multipleFieldFilters="0" chartFormat="1" rowHeaderCaption="Revenue por mes y año">
  <location ref="A1:B13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">
        <item x="0"/>
      </items>
    </pivotField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2">
    <field x="1"/>
    <field x="2"/>
  </rowFields>
  <rowItems count="1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fld="0" subtotal="count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8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ates]"/>
        <x15:activeTabTopLevelEntity name="[Fact_sales_pipelin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E317A-84A1-47ED-9F16-8FFA7F5908E5}" name="TablaDinámica1" cacheId="63" applyNumberFormats="0" applyBorderFormats="0" applyFontFormats="0" applyPatternFormats="0" applyAlignmentFormats="0" applyWidthHeightFormats="1" dataCaption="Valores" tag="5d0f4948-a305-4d6d-b381-dfbfef7cd6cc" updatedVersion="7" minRefreshableVersion="3" useAutoFormatting="1" itemPrintTitles="1" createdVersion="7" indent="0" outline="1" outlineData="1" multipleFieldFilters="0" chartFormat="2" rowHeaderCaption="Revenue Por Sector">
  <location ref="A1:B12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fld="1" subtotal="count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accounts]"/>
        <x15:activeTabTopLevelEntity name="[Fact_sales_pipelin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B0064E-7658-4319-B3C6-BD8FCA096245}" name="TablaDinámica2" cacheId="60" applyNumberFormats="0" applyBorderFormats="0" applyFontFormats="0" applyPatternFormats="0" applyAlignmentFormats="0" applyWidthHeightFormats="1" dataCaption="Valores" tag="dadb7bda-7e7f-41a0-8a46-40527d7f2239" updatedVersion="7" minRefreshableVersion="3" useAutoFormatting="1" itemPrintTitles="1" createdVersion="7" indent="0" outline="1" outlineData="1" multipleFieldFilters="0" chartFormat="1" rowHeaderCaption="Performance por vendedor">
  <location ref="A1:D32" firstHeaderRow="0" firstDataRow="1" firstDataCol="1"/>
  <pivotFields count="4"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1" numFmtId="164"/>
    <dataField fld="2" subtotal="count" baseField="0" baseItem="1" numFmtId="2"/>
    <dataField fld="3" subtotal="count" baseField="0" baseItem="1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ales_agent]"/>
        <x15:activeTabTopLevelEntity name="[Fact_sales_pipelin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82016A-A64D-487B-B620-A78AF65CD150}" name="TablaDinámica4" cacheId="80" applyNumberFormats="0" applyBorderFormats="0" applyFontFormats="0" applyPatternFormats="0" applyAlignmentFormats="0" applyWidthHeightFormats="1" dataCaption="Valores" tag="f52d2941-26cc-4f29-ae57-3c879779e814" updatedVersion="7" minRefreshableVersion="3" useAutoFormatting="1" itemPrintTitles="1" createdVersion="7" indent="0" outline="1" outlineData="1" multipleFieldFilters="0" chartFormat="1" rowHeaderCaption="Deal size vs win rate">
  <location ref="A1:C5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 numFmtId="10"/>
    <dataField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_pipelin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200DA-B035-4D79-A849-B27BB2715EFC}">
  <dimension ref="A1:B9"/>
  <sheetViews>
    <sheetView workbookViewId="0">
      <selection activeCell="A16" sqref="A16"/>
    </sheetView>
  </sheetViews>
  <sheetFormatPr baseColWidth="10" defaultRowHeight="14.5" x14ac:dyDescent="0.35"/>
  <cols>
    <col min="1" max="1" width="21.90625" bestFit="1" customWidth="1"/>
    <col min="2" max="2" width="13.453125" bestFit="1" customWidth="1"/>
    <col min="3" max="3" width="9.81640625" bestFit="1" customWidth="1"/>
    <col min="4" max="4" width="19.453125" bestFit="1" customWidth="1"/>
    <col min="5" max="5" width="13.453125" bestFit="1" customWidth="1"/>
    <col min="6" max="6" width="13.81640625" bestFit="1" customWidth="1"/>
    <col min="7" max="7" width="22.6328125" bestFit="1" customWidth="1"/>
    <col min="8" max="8" width="13.453125" bestFit="1" customWidth="1"/>
    <col min="9" max="19" width="21.26953125" bestFit="1" customWidth="1"/>
    <col min="20" max="20" width="11.7265625" bestFit="1" customWidth="1"/>
  </cols>
  <sheetData>
    <row r="1" spans="1:2" x14ac:dyDescent="0.35">
      <c r="A1" s="1" t="s">
        <v>8</v>
      </c>
      <c r="B1" t="s">
        <v>7</v>
      </c>
    </row>
    <row r="2" spans="1:2" x14ac:dyDescent="0.35">
      <c r="A2" s="2" t="s">
        <v>5</v>
      </c>
      <c r="B2" s="3">
        <v>43768</v>
      </c>
    </row>
    <row r="3" spans="1:2" x14ac:dyDescent="0.35">
      <c r="A3" s="2" t="s">
        <v>4</v>
      </c>
      <c r="B3" s="3">
        <v>2216387</v>
      </c>
    </row>
    <row r="4" spans="1:2" x14ac:dyDescent="0.35">
      <c r="A4" s="2" t="s">
        <v>62</v>
      </c>
      <c r="B4" s="3">
        <v>3510578</v>
      </c>
    </row>
    <row r="5" spans="1:2" x14ac:dyDescent="0.35">
      <c r="A5" s="2" t="s">
        <v>3</v>
      </c>
      <c r="B5" s="3">
        <v>2629651</v>
      </c>
    </row>
    <row r="6" spans="1:2" x14ac:dyDescent="0.35">
      <c r="A6" s="2" t="s">
        <v>2</v>
      </c>
      <c r="B6" s="3">
        <v>705275</v>
      </c>
    </row>
    <row r="7" spans="1:2" x14ac:dyDescent="0.35">
      <c r="A7" s="2" t="s">
        <v>1</v>
      </c>
      <c r="B7" s="3">
        <v>499263</v>
      </c>
    </row>
    <row r="8" spans="1:2" x14ac:dyDescent="0.35">
      <c r="A8" s="2" t="s">
        <v>0</v>
      </c>
      <c r="B8" s="3">
        <v>400612</v>
      </c>
    </row>
    <row r="9" spans="1:2" x14ac:dyDescent="0.35">
      <c r="A9" s="2" t="s">
        <v>6</v>
      </c>
      <c r="B9" s="3">
        <v>10005534</v>
      </c>
    </row>
  </sheetData>
  <phoneticPr fontId="1" type="noConversion"/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D00DE-14D9-4C95-9DCF-EAD0AB11BF19}">
  <dimension ref="A1:B13"/>
  <sheetViews>
    <sheetView workbookViewId="0">
      <selection activeCell="I10" sqref="I10"/>
    </sheetView>
  </sheetViews>
  <sheetFormatPr baseColWidth="10" defaultRowHeight="14.5" x14ac:dyDescent="0.35"/>
  <cols>
    <col min="1" max="1" width="22.6328125" bestFit="1" customWidth="1"/>
    <col min="2" max="2" width="13.453125" bestFit="1" customWidth="1"/>
  </cols>
  <sheetData>
    <row r="1" spans="1:2" x14ac:dyDescent="0.35">
      <c r="A1" s="1" t="s">
        <v>63</v>
      </c>
      <c r="B1" t="s">
        <v>7</v>
      </c>
    </row>
    <row r="2" spans="1:2" x14ac:dyDescent="0.35">
      <c r="A2" s="2">
        <v>2017</v>
      </c>
      <c r="B2" s="3"/>
    </row>
    <row r="3" spans="1:2" x14ac:dyDescent="0.35">
      <c r="A3" s="6" t="s">
        <v>52</v>
      </c>
      <c r="B3" s="3">
        <v>721932</v>
      </c>
    </row>
    <row r="4" spans="1:2" x14ac:dyDescent="0.35">
      <c r="A4" s="6" t="s">
        <v>53</v>
      </c>
      <c r="B4" s="3">
        <v>1050059</v>
      </c>
    </row>
    <row r="5" spans="1:2" x14ac:dyDescent="0.35">
      <c r="A5" s="6" t="s">
        <v>54</v>
      </c>
      <c r="B5" s="3">
        <v>1131573</v>
      </c>
    </row>
    <row r="6" spans="1:2" x14ac:dyDescent="0.35">
      <c r="A6" s="6" t="s">
        <v>55</v>
      </c>
      <c r="B6" s="3">
        <v>696932</v>
      </c>
    </row>
    <row r="7" spans="1:2" x14ac:dyDescent="0.35">
      <c r="A7" s="6" t="s">
        <v>56</v>
      </c>
      <c r="B7" s="3">
        <v>1338466</v>
      </c>
    </row>
    <row r="8" spans="1:2" x14ac:dyDescent="0.35">
      <c r="A8" s="6" t="s">
        <v>57</v>
      </c>
      <c r="B8" s="3">
        <v>1134672</v>
      </c>
    </row>
    <row r="9" spans="1:2" x14ac:dyDescent="0.35">
      <c r="A9" s="6" t="s">
        <v>58</v>
      </c>
      <c r="B9" s="3">
        <v>1025713</v>
      </c>
    </row>
    <row r="10" spans="1:2" x14ac:dyDescent="0.35">
      <c r="A10" s="6" t="s">
        <v>59</v>
      </c>
      <c r="B10" s="3">
        <v>938943</v>
      </c>
    </row>
    <row r="11" spans="1:2" x14ac:dyDescent="0.35">
      <c r="A11" s="6" t="s">
        <v>60</v>
      </c>
      <c r="B11" s="3">
        <v>731980</v>
      </c>
    </row>
    <row r="12" spans="1:2" x14ac:dyDescent="0.35">
      <c r="A12" s="6" t="s">
        <v>61</v>
      </c>
      <c r="B12" s="3">
        <v>1235264</v>
      </c>
    </row>
    <row r="13" spans="1:2" x14ac:dyDescent="0.35">
      <c r="A13" s="2" t="s">
        <v>6</v>
      </c>
      <c r="B13" s="3">
        <v>10005534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48A66-3883-49E4-B6F9-22D75B41283F}">
  <dimension ref="A1:B12"/>
  <sheetViews>
    <sheetView workbookViewId="0">
      <selection activeCell="B18" sqref="B18"/>
    </sheetView>
  </sheetViews>
  <sheetFormatPr baseColWidth="10" defaultRowHeight="14.5" x14ac:dyDescent="0.35"/>
  <cols>
    <col min="1" max="1" width="19.453125" bestFit="1" customWidth="1"/>
    <col min="2" max="2" width="13.453125" bestFit="1" customWidth="1"/>
  </cols>
  <sheetData>
    <row r="1" spans="1:2" x14ac:dyDescent="0.35">
      <c r="A1" s="1" t="s">
        <v>19</v>
      </c>
      <c r="B1" t="s">
        <v>7</v>
      </c>
    </row>
    <row r="2" spans="1:2" x14ac:dyDescent="0.35">
      <c r="A2" s="2" t="s">
        <v>9</v>
      </c>
      <c r="B2" s="3">
        <v>436174</v>
      </c>
    </row>
    <row r="3" spans="1:2" x14ac:dyDescent="0.35">
      <c r="A3" s="2" t="s">
        <v>10</v>
      </c>
      <c r="B3" s="3">
        <v>689007</v>
      </c>
    </row>
    <row r="4" spans="1:2" x14ac:dyDescent="0.35">
      <c r="A4" s="2" t="s">
        <v>11</v>
      </c>
      <c r="B4" s="3">
        <v>950908</v>
      </c>
    </row>
    <row r="5" spans="1:2" x14ac:dyDescent="0.35">
      <c r="A5" s="2" t="s">
        <v>12</v>
      </c>
      <c r="B5" s="3">
        <v>922321</v>
      </c>
    </row>
    <row r="6" spans="1:2" x14ac:dyDescent="0.35">
      <c r="A6" s="2" t="s">
        <v>13</v>
      </c>
      <c r="B6" s="3">
        <v>1359595</v>
      </c>
    </row>
    <row r="7" spans="1:2" x14ac:dyDescent="0.35">
      <c r="A7" s="2" t="s">
        <v>14</v>
      </c>
      <c r="B7" s="3">
        <v>1867528</v>
      </c>
    </row>
    <row r="8" spans="1:2" x14ac:dyDescent="0.35">
      <c r="A8" s="2" t="s">
        <v>15</v>
      </c>
      <c r="B8" s="3">
        <v>533006</v>
      </c>
    </row>
    <row r="9" spans="1:2" x14ac:dyDescent="0.35">
      <c r="A9" s="2" t="s">
        <v>16</v>
      </c>
      <c r="B9" s="3">
        <v>1077934</v>
      </c>
    </row>
    <row r="10" spans="1:2" x14ac:dyDescent="0.35">
      <c r="A10" s="2" t="s">
        <v>17</v>
      </c>
      <c r="B10" s="3">
        <v>1515487</v>
      </c>
    </row>
    <row r="11" spans="1:2" x14ac:dyDescent="0.35">
      <c r="A11" s="2" t="s">
        <v>18</v>
      </c>
      <c r="B11" s="3">
        <v>653574</v>
      </c>
    </row>
    <row r="12" spans="1:2" x14ac:dyDescent="0.35">
      <c r="A12" s="2" t="s">
        <v>6</v>
      </c>
      <c r="B12" s="3">
        <v>10005534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5C2C1-90D6-43BF-AFB8-BBF7B3E231E9}">
  <dimension ref="A1:D32"/>
  <sheetViews>
    <sheetView workbookViewId="0">
      <selection activeCell="A14" sqref="A2:A31"/>
      <pivotSelection pane="bottomRight" showHeader="1" axis="axisRow" activeRow="13" previousRow="13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baseColWidth="10" defaultRowHeight="14.5" x14ac:dyDescent="0.35"/>
  <cols>
    <col min="1" max="1" width="25.90625" bestFit="1" customWidth="1"/>
    <col min="2" max="2" width="13.453125" bestFit="1" customWidth="1"/>
    <col min="3" max="3" width="9.81640625" bestFit="1" customWidth="1"/>
    <col min="4" max="4" width="8.453125" bestFit="1" customWidth="1"/>
  </cols>
  <sheetData>
    <row r="1" spans="1:4" x14ac:dyDescent="0.35">
      <c r="A1" s="1" t="s">
        <v>64</v>
      </c>
      <c r="B1" t="s">
        <v>7</v>
      </c>
      <c r="C1" t="s">
        <v>50</v>
      </c>
      <c r="D1" t="s">
        <v>51</v>
      </c>
    </row>
    <row r="2" spans="1:4" x14ac:dyDescent="0.35">
      <c r="A2" s="2" t="s">
        <v>20</v>
      </c>
      <c r="B2" s="3">
        <v>275056</v>
      </c>
      <c r="C2" s="5">
        <v>208</v>
      </c>
      <c r="D2" s="4">
        <v>0.4642857142857143</v>
      </c>
    </row>
    <row r="3" spans="1:4" x14ac:dyDescent="0.35">
      <c r="A3" s="2" t="s">
        <v>21</v>
      </c>
      <c r="B3" s="3">
        <v>261631</v>
      </c>
      <c r="C3" s="5">
        <v>101</v>
      </c>
      <c r="D3" s="4">
        <v>0.48095238095238096</v>
      </c>
    </row>
    <row r="4" spans="1:4" x14ac:dyDescent="0.35">
      <c r="A4" s="2" t="s">
        <v>22</v>
      </c>
      <c r="B4" s="3">
        <v>450489</v>
      </c>
      <c r="C4" s="5">
        <v>163</v>
      </c>
      <c r="D4" s="4">
        <v>0.47109826589595377</v>
      </c>
    </row>
    <row r="5" spans="1:4" x14ac:dyDescent="0.35">
      <c r="A5" s="2" t="s">
        <v>23</v>
      </c>
      <c r="B5" s="3">
        <v>229800</v>
      </c>
      <c r="C5" s="5">
        <v>107</v>
      </c>
      <c r="D5" s="4">
        <v>0.52709359605911332</v>
      </c>
    </row>
    <row r="6" spans="1:4" x14ac:dyDescent="0.35">
      <c r="A6" s="2" t="s">
        <v>24</v>
      </c>
      <c r="B6" s="3">
        <v>421036</v>
      </c>
      <c r="C6" s="5">
        <v>150</v>
      </c>
      <c r="D6" s="4">
        <v>0.4838709677419355</v>
      </c>
    </row>
    <row r="7" spans="1:4" x14ac:dyDescent="0.35">
      <c r="A7" s="2" t="s">
        <v>25</v>
      </c>
      <c r="B7" s="3">
        <v>364229</v>
      </c>
      <c r="C7" s="5">
        <v>114</v>
      </c>
      <c r="D7" s="4">
        <v>0.44015444015444016</v>
      </c>
    </row>
    <row r="8" spans="1:4" x14ac:dyDescent="0.35">
      <c r="A8" s="2" t="s">
        <v>26</v>
      </c>
      <c r="B8" s="3">
        <v>1153214</v>
      </c>
      <c r="C8" s="5">
        <v>349</v>
      </c>
      <c r="D8" s="4">
        <v>0.46720214190093706</v>
      </c>
    </row>
    <row r="9" spans="1:4" x14ac:dyDescent="0.35">
      <c r="A9" s="2" t="s">
        <v>27</v>
      </c>
      <c r="B9" s="3">
        <v>445860</v>
      </c>
      <c r="C9" s="5">
        <v>158</v>
      </c>
      <c r="D9" s="4">
        <v>0.57454545454545458</v>
      </c>
    </row>
    <row r="10" spans="1:4" x14ac:dyDescent="0.35">
      <c r="A10" s="2" t="s">
        <v>28</v>
      </c>
      <c r="B10" s="3">
        <v>289195</v>
      </c>
      <c r="C10" s="5">
        <v>80</v>
      </c>
      <c r="D10" s="4">
        <v>0.4519774011299435</v>
      </c>
    </row>
    <row r="11" spans="1:4" x14ac:dyDescent="0.35">
      <c r="A11" s="2" t="s">
        <v>29</v>
      </c>
      <c r="B11" s="3">
        <v>197773</v>
      </c>
      <c r="C11" s="5">
        <v>75</v>
      </c>
      <c r="D11" s="4">
        <v>0.6097560975609756</v>
      </c>
    </row>
    <row r="12" spans="1:4" x14ac:dyDescent="0.35">
      <c r="A12" s="2" t="s">
        <v>30</v>
      </c>
      <c r="B12" s="3">
        <v>345674</v>
      </c>
      <c r="C12" s="5">
        <v>135</v>
      </c>
      <c r="D12" s="4">
        <v>0.42586750788643535</v>
      </c>
    </row>
    <row r="13" spans="1:4" x14ac:dyDescent="0.35">
      <c r="A13" s="2" t="s">
        <v>31</v>
      </c>
      <c r="B13" s="3">
        <v>272111</v>
      </c>
      <c r="C13" s="5">
        <v>107</v>
      </c>
      <c r="D13" s="4">
        <v>0.52970297029702973</v>
      </c>
    </row>
    <row r="14" spans="1:4" x14ac:dyDescent="0.35">
      <c r="A14" s="2" t="s">
        <v>32</v>
      </c>
      <c r="B14" s="3">
        <v>413533</v>
      </c>
      <c r="C14" s="5">
        <v>135</v>
      </c>
      <c r="D14" s="4">
        <v>0.5056179775280899</v>
      </c>
    </row>
    <row r="15" spans="1:4" x14ac:dyDescent="0.35">
      <c r="A15" s="2" t="s">
        <v>33</v>
      </c>
      <c r="B15" s="3">
        <v>284886</v>
      </c>
      <c r="C15" s="5">
        <v>171</v>
      </c>
      <c r="D15" s="4">
        <v>0.4956521739130435</v>
      </c>
    </row>
    <row r="16" spans="1:4" x14ac:dyDescent="0.35">
      <c r="A16" s="2" t="s">
        <v>34</v>
      </c>
      <c r="B16" s="3">
        <v>316456</v>
      </c>
      <c r="C16" s="5">
        <v>174</v>
      </c>
      <c r="D16" s="4">
        <v>0.48066298342541436</v>
      </c>
    </row>
    <row r="17" spans="1:4" x14ac:dyDescent="0.35">
      <c r="A17" s="2" t="s">
        <v>35</v>
      </c>
      <c r="B17" s="3">
        <v>454298</v>
      </c>
      <c r="C17" s="5">
        <v>209</v>
      </c>
      <c r="D17" s="4">
        <v>0.4771689497716895</v>
      </c>
    </row>
    <row r="18" spans="1:4" x14ac:dyDescent="0.35">
      <c r="A18" s="2" t="s">
        <v>36</v>
      </c>
      <c r="B18" s="3">
        <v>194632</v>
      </c>
      <c r="C18" s="5">
        <v>127</v>
      </c>
      <c r="D18" s="4">
        <v>0.40836012861736337</v>
      </c>
    </row>
    <row r="19" spans="1:4" x14ac:dyDescent="0.35">
      <c r="A19" s="2" t="s">
        <v>37</v>
      </c>
      <c r="B19" s="3">
        <v>328792</v>
      </c>
      <c r="C19" s="5">
        <v>130</v>
      </c>
      <c r="D19" s="4">
        <v>0.42483660130718953</v>
      </c>
    </row>
    <row r="20" spans="1:4" x14ac:dyDescent="0.35">
      <c r="A20" s="2" t="s">
        <v>38</v>
      </c>
      <c r="B20" s="3">
        <v>291195</v>
      </c>
      <c r="C20" s="5">
        <v>122</v>
      </c>
      <c r="D20" s="4">
        <v>0.43416370106761565</v>
      </c>
    </row>
    <row r="21" spans="1:4" x14ac:dyDescent="0.35">
      <c r="A21" s="2" t="s">
        <v>39</v>
      </c>
      <c r="B21" s="3">
        <v>350395</v>
      </c>
      <c r="C21" s="5">
        <v>149</v>
      </c>
      <c r="D21" s="4">
        <v>0.52280701754385961</v>
      </c>
    </row>
    <row r="22" spans="1:4" x14ac:dyDescent="0.35">
      <c r="A22" s="2" t="s">
        <v>40</v>
      </c>
      <c r="B22" s="3">
        <v>207182</v>
      </c>
      <c r="C22" s="5">
        <v>129</v>
      </c>
      <c r="D22" s="4">
        <v>0.49615384615384617</v>
      </c>
    </row>
    <row r="23" spans="1:4" x14ac:dyDescent="0.35">
      <c r="A23" s="2" t="s">
        <v>41</v>
      </c>
      <c r="B23" s="3">
        <v>176961</v>
      </c>
      <c r="C23" s="5">
        <v>105</v>
      </c>
      <c r="D23" s="4">
        <v>0.43933054393305437</v>
      </c>
    </row>
    <row r="24" spans="1:4" x14ac:dyDescent="0.35">
      <c r="A24" s="2" t="s">
        <v>42</v>
      </c>
      <c r="B24" s="3">
        <v>438336</v>
      </c>
      <c r="C24" s="5">
        <v>155</v>
      </c>
      <c r="D24" s="4">
        <v>0.65400843881856541</v>
      </c>
    </row>
    <row r="25" spans="1:4" x14ac:dyDescent="0.35">
      <c r="A25" s="2" t="s">
        <v>43</v>
      </c>
      <c r="B25" s="3">
        <v>235403</v>
      </c>
      <c r="C25" s="5">
        <v>72</v>
      </c>
      <c r="D25" s="4">
        <v>0.45</v>
      </c>
    </row>
    <row r="26" spans="1:4" x14ac:dyDescent="0.35">
      <c r="A26" s="2" t="s">
        <v>44</v>
      </c>
      <c r="B26" s="3">
        <v>230169</v>
      </c>
      <c r="C26" s="5">
        <v>78</v>
      </c>
      <c r="D26" s="4">
        <v>0.48749999999999999</v>
      </c>
    </row>
    <row r="27" spans="1:4" x14ac:dyDescent="0.35">
      <c r="A27" s="2" t="s">
        <v>45</v>
      </c>
      <c r="B27" s="3">
        <v>187693</v>
      </c>
      <c r="C27" s="5">
        <v>176</v>
      </c>
      <c r="D27" s="4">
        <v>0.48753462603878117</v>
      </c>
    </row>
    <row r="28" spans="1:4" x14ac:dyDescent="0.35">
      <c r="A28" s="2" t="s">
        <v>46</v>
      </c>
      <c r="B28" s="3">
        <v>478396</v>
      </c>
      <c r="C28" s="5">
        <v>221</v>
      </c>
      <c r="D28" s="4">
        <v>0.49002217294900224</v>
      </c>
    </row>
    <row r="29" spans="1:4" x14ac:dyDescent="0.35">
      <c r="A29" s="2" t="s">
        <v>47</v>
      </c>
      <c r="B29" s="3">
        <v>123431</v>
      </c>
      <c r="C29" s="5">
        <v>122</v>
      </c>
      <c r="D29" s="4">
        <v>0.46743295019157088</v>
      </c>
    </row>
    <row r="30" spans="1:4" x14ac:dyDescent="0.35">
      <c r="A30" s="2" t="s">
        <v>48</v>
      </c>
      <c r="B30" s="3">
        <v>157640</v>
      </c>
      <c r="C30" s="5">
        <v>55</v>
      </c>
      <c r="D30" s="4">
        <v>0.5</v>
      </c>
    </row>
    <row r="31" spans="1:4" x14ac:dyDescent="0.35">
      <c r="A31" s="2" t="s">
        <v>49</v>
      </c>
      <c r="B31" s="3">
        <v>430068</v>
      </c>
      <c r="C31" s="5">
        <v>161</v>
      </c>
      <c r="D31" s="4">
        <v>0.46131805157593125</v>
      </c>
    </row>
    <row r="32" spans="1:4" x14ac:dyDescent="0.35">
      <c r="A32" s="2" t="s">
        <v>6</v>
      </c>
      <c r="B32" s="3">
        <v>10005534</v>
      </c>
      <c r="C32" s="5">
        <v>4238</v>
      </c>
      <c r="D32" s="4">
        <v>0.48159090909090907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78B12-58B8-4354-99CC-303945224C9F}">
  <dimension ref="A1:C5"/>
  <sheetViews>
    <sheetView tabSelected="1" workbookViewId="0">
      <selection activeCell="A13" sqref="A13"/>
    </sheetView>
  </sheetViews>
  <sheetFormatPr baseColWidth="10" defaultRowHeight="14.5" x14ac:dyDescent="0.35"/>
  <cols>
    <col min="1" max="1" width="23.90625" customWidth="1"/>
    <col min="2" max="2" width="8.453125" bestFit="1" customWidth="1"/>
    <col min="3" max="3" width="10.08984375" bestFit="1" customWidth="1"/>
  </cols>
  <sheetData>
    <row r="1" spans="1:3" x14ac:dyDescent="0.35">
      <c r="A1" s="1" t="s">
        <v>69</v>
      </c>
      <c r="B1" t="s">
        <v>51</v>
      </c>
      <c r="C1" t="s">
        <v>68</v>
      </c>
    </row>
    <row r="2" spans="1:3" x14ac:dyDescent="0.35">
      <c r="A2" s="2" t="s">
        <v>65</v>
      </c>
      <c r="B2" s="4">
        <v>1</v>
      </c>
      <c r="C2" s="7">
        <v>1795</v>
      </c>
    </row>
    <row r="3" spans="1:3" x14ac:dyDescent="0.35">
      <c r="A3" s="2" t="s">
        <v>66</v>
      </c>
      <c r="B3" s="4">
        <v>0.49694873881204232</v>
      </c>
      <c r="C3" s="7">
        <v>4916</v>
      </c>
    </row>
    <row r="4" spans="1:3" x14ac:dyDescent="0.35">
      <c r="A4" s="2" t="s">
        <v>67</v>
      </c>
      <c r="B4" s="4"/>
      <c r="C4" s="7">
        <v>2089</v>
      </c>
    </row>
    <row r="5" spans="1:3" x14ac:dyDescent="0.35">
      <c r="A5" s="2" t="s">
        <v>6</v>
      </c>
      <c r="B5" s="4">
        <v>0.48159090909090907</v>
      </c>
      <c r="C5" s="7">
        <v>8800</v>
      </c>
    </row>
  </sheetData>
  <pageMargins left="0.7" right="0.7" top="0.75" bottom="0.75" header="0.3" footer="0.3"/>
  <pageSetup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54C9BD5C-5BD5-46D9-A631-01864D681C64}">
  <ds:schemaRefs/>
</ds:datastoreItem>
</file>

<file path=customXml/itemProps2.xml><?xml version="1.0" encoding="utf-8"?>
<ds:datastoreItem xmlns:ds="http://schemas.openxmlformats.org/officeDocument/2006/customXml" ds:itemID="{F3F9090B-5077-4041-AD8F-FE40F2B8939D}">
  <ds:schemaRefs/>
</ds:datastoreItem>
</file>

<file path=customXml/itemProps3.xml><?xml version="1.0" encoding="utf-8"?>
<ds:datastoreItem xmlns:ds="http://schemas.openxmlformats.org/officeDocument/2006/customXml" ds:itemID="{EA8534F8-6A8C-4374-B2E6-D68EC6DC858A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C9C6EB95-58BB-41AD-AC97-0A1C5716E524}">
  <ds:schemaRefs/>
</ds:datastoreItem>
</file>

<file path=customXml/itemProps5.xml><?xml version="1.0" encoding="utf-8"?>
<ds:datastoreItem xmlns:ds="http://schemas.openxmlformats.org/officeDocument/2006/customXml" ds:itemID="{066355C7-E2B5-4E46-9420-AA5002A845AE}">
  <ds:schemaRefs/>
</ds:datastoreItem>
</file>

<file path=customXml/itemProps6.xml><?xml version="1.0" encoding="utf-8"?>
<ds:datastoreItem xmlns:ds="http://schemas.openxmlformats.org/officeDocument/2006/customXml" ds:itemID="{8B3AE555-35D5-46DB-884E-BE8E92E9C09F}">
  <ds:schemaRefs/>
</ds:datastoreItem>
</file>

<file path=customXml/itemProps7.xml><?xml version="1.0" encoding="utf-8"?>
<ds:datastoreItem xmlns:ds="http://schemas.openxmlformats.org/officeDocument/2006/customXml" ds:itemID="{7F7EA89C-C36B-4FDE-B7E4-AD01044EFAD1}">
  <ds:schemaRefs/>
</ds:datastoreItem>
</file>

<file path=customXml/itemProps8.xml><?xml version="1.0" encoding="utf-8"?>
<ds:datastoreItem xmlns:ds="http://schemas.openxmlformats.org/officeDocument/2006/customXml" ds:itemID="{0EF126AF-B448-44B8-A772-3229D16BA72C}">
  <ds:schemaRefs/>
</ds:datastoreItem>
</file>

<file path=customXml/itemProps9.xml><?xml version="1.0" encoding="utf-8"?>
<ds:datastoreItem xmlns:ds="http://schemas.openxmlformats.org/officeDocument/2006/customXml" ds:itemID="{EBEC52A2-4BAD-4BBB-A260-02866ED87DCC}">
  <ds:schemaRefs/>
</ds:datastoreItem>
</file>

<file path=customXml/itemProps10.xml><?xml version="1.0" encoding="utf-8"?>
<ds:datastoreItem xmlns:ds="http://schemas.openxmlformats.org/officeDocument/2006/customXml" ds:itemID="{043E3F42-19EB-4204-B5F3-96F9BEB45D8C}">
  <ds:schemaRefs/>
</ds:datastoreItem>
</file>

<file path=customXml/itemProps11.xml><?xml version="1.0" encoding="utf-8"?>
<ds:datastoreItem xmlns:ds="http://schemas.openxmlformats.org/officeDocument/2006/customXml" ds:itemID="{0E47DF17-8555-4F9A-BAEA-302E963087DB}">
  <ds:schemaRefs/>
</ds:datastoreItem>
</file>

<file path=customXml/itemProps12.xml><?xml version="1.0" encoding="utf-8"?>
<ds:datastoreItem xmlns:ds="http://schemas.openxmlformats.org/officeDocument/2006/customXml" ds:itemID="{F5D53B2C-F797-46CA-A3A1-64B0C4825D10}">
  <ds:schemaRefs/>
</ds:datastoreItem>
</file>

<file path=customXml/itemProps13.xml><?xml version="1.0" encoding="utf-8"?>
<ds:datastoreItem xmlns:ds="http://schemas.openxmlformats.org/officeDocument/2006/customXml" ds:itemID="{255E0CED-2A5B-4775-BAB3-C844B44E14CB}">
  <ds:schemaRefs/>
</ds:datastoreItem>
</file>

<file path=customXml/itemProps14.xml><?xml version="1.0" encoding="utf-8"?>
<ds:datastoreItem xmlns:ds="http://schemas.openxmlformats.org/officeDocument/2006/customXml" ds:itemID="{CAC24927-237F-4391-9A84-842C54234E2A}">
  <ds:schemaRefs/>
</ds:datastoreItem>
</file>

<file path=customXml/itemProps15.xml><?xml version="1.0" encoding="utf-8"?>
<ds:datastoreItem xmlns:ds="http://schemas.openxmlformats.org/officeDocument/2006/customXml" ds:itemID="{5892E23B-9BBF-444E-AE1A-81DFADB7143D}">
  <ds:schemaRefs/>
</ds:datastoreItem>
</file>

<file path=customXml/itemProps16.xml><?xml version="1.0" encoding="utf-8"?>
<ds:datastoreItem xmlns:ds="http://schemas.openxmlformats.org/officeDocument/2006/customXml" ds:itemID="{4C4BB23A-CD4C-4886-A6FA-B935212A2438}">
  <ds:schemaRefs/>
</ds:datastoreItem>
</file>

<file path=customXml/itemProps17.xml><?xml version="1.0" encoding="utf-8"?>
<ds:datastoreItem xmlns:ds="http://schemas.openxmlformats.org/officeDocument/2006/customXml" ds:itemID="{D8A6B6B5-16F1-4612-A83E-A5528BE4D99C}">
  <ds:schemaRefs/>
</ds:datastoreItem>
</file>

<file path=customXml/itemProps18.xml><?xml version="1.0" encoding="utf-8"?>
<ds:datastoreItem xmlns:ds="http://schemas.openxmlformats.org/officeDocument/2006/customXml" ds:itemID="{E81A5524-B30E-4FDD-A05D-6D3F91E52CC3}">
  <ds:schemaRefs/>
</ds:datastoreItem>
</file>

<file path=customXml/itemProps19.xml><?xml version="1.0" encoding="utf-8"?>
<ds:datastoreItem xmlns:ds="http://schemas.openxmlformats.org/officeDocument/2006/customXml" ds:itemID="{86A77643-64C8-43CE-8F46-367B70E80F49}">
  <ds:schemaRefs/>
</ds:datastoreItem>
</file>

<file path=customXml/itemProps20.xml><?xml version="1.0" encoding="utf-8"?>
<ds:datastoreItem xmlns:ds="http://schemas.openxmlformats.org/officeDocument/2006/customXml" ds:itemID="{F2A7AFE5-399E-4024-BF9E-C142CE94AE40}">
  <ds:schemaRefs/>
</ds:datastoreItem>
</file>

<file path=customXml/itemProps21.xml><?xml version="1.0" encoding="utf-8"?>
<ds:datastoreItem xmlns:ds="http://schemas.openxmlformats.org/officeDocument/2006/customXml" ds:itemID="{78980EA7-D776-41B0-9C7C-4966DA02F14C}">
  <ds:schemaRefs/>
</ds:datastoreItem>
</file>

<file path=customXml/itemProps22.xml><?xml version="1.0" encoding="utf-8"?>
<ds:datastoreItem xmlns:ds="http://schemas.openxmlformats.org/officeDocument/2006/customXml" ds:itemID="{CA02EBF9-DEF1-4E5C-8C85-0435761C7608}">
  <ds:schemaRefs/>
</ds:datastoreItem>
</file>

<file path=customXml/itemProps23.xml><?xml version="1.0" encoding="utf-8"?>
<ds:datastoreItem xmlns:ds="http://schemas.openxmlformats.org/officeDocument/2006/customXml" ds:itemID="{C5D41031-E94B-4E33-987F-1FEDD4B86DA0}">
  <ds:schemaRefs/>
</ds:datastoreItem>
</file>

<file path=customXml/itemProps24.xml><?xml version="1.0" encoding="utf-8"?>
<ds:datastoreItem xmlns:ds="http://schemas.openxmlformats.org/officeDocument/2006/customXml" ds:itemID="{6F6B6AD6-DCF3-449C-8866-7E032C018D5A}">
  <ds:schemaRefs/>
</ds:datastoreItem>
</file>

<file path=customXml/itemProps25.xml><?xml version="1.0" encoding="utf-8"?>
<ds:datastoreItem xmlns:ds="http://schemas.openxmlformats.org/officeDocument/2006/customXml" ds:itemID="{6FE71AD4-C4CB-4B9B-B0FE-E4DB958AC84F}">
  <ds:schemaRefs/>
</ds:datastoreItem>
</file>

<file path=customXml/itemProps26.xml><?xml version="1.0" encoding="utf-8"?>
<ds:datastoreItem xmlns:ds="http://schemas.openxmlformats.org/officeDocument/2006/customXml" ds:itemID="{D7DE1913-EBC3-4F2F-93E8-A27B5E8DFC2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Revenue por producto</vt:lpstr>
      <vt:lpstr>Revenue por mes y año</vt:lpstr>
      <vt:lpstr>Revenue por sector</vt:lpstr>
      <vt:lpstr>Performance por vendedor</vt:lpstr>
      <vt:lpstr>Deal size vs win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García Ramírez</dc:creator>
  <cp:lastModifiedBy>Juan Manuel García Ramírez</cp:lastModifiedBy>
  <dcterms:created xsi:type="dcterms:W3CDTF">2026-03-17T14:13:24Z</dcterms:created>
  <dcterms:modified xsi:type="dcterms:W3CDTF">2026-03-19T00:21:30Z</dcterms:modified>
</cp:coreProperties>
</file>